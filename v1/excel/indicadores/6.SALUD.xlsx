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PPI 11\Dropbox\UIEPA\IPPI-DPCIEE-039-2024\AHORA\TEMÁTICAS - BASE DE DATOS\"/>
    </mc:Choice>
  </mc:AlternateContent>
  <xr:revisionPtr revIDLastSave="0" documentId="13_ncr:1_{BD293214-5D34-41D2-80F5-39984203E55C}" xr6:coauthVersionLast="47" xr6:coauthVersionMax="47" xr10:uidLastSave="{00000000-0000-0000-0000-000000000000}"/>
  <bookViews>
    <workbookView xWindow="28680" yWindow="-120" windowWidth="29040" windowHeight="16440" xr2:uid="{A805F4C0-C3AB-49F5-94CE-E018A84F34C8}"/>
  </bookViews>
  <sheets>
    <sheet name="SALU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1" i="1" l="1"/>
  <c r="P81" i="1"/>
  <c r="O81" i="1"/>
  <c r="I81" i="1"/>
  <c r="H81" i="1"/>
  <c r="G81" i="1"/>
  <c r="Q80" i="1"/>
  <c r="P80" i="1"/>
  <c r="O80" i="1"/>
  <c r="I80" i="1"/>
  <c r="H80" i="1"/>
  <c r="G80" i="1"/>
  <c r="Q79" i="1"/>
  <c r="P79" i="1"/>
  <c r="O79" i="1"/>
  <c r="I79" i="1"/>
  <c r="H79" i="1"/>
  <c r="G79" i="1"/>
  <c r="Q78" i="1"/>
  <c r="P78" i="1"/>
  <c r="O78" i="1"/>
  <c r="I78" i="1"/>
  <c r="H78" i="1"/>
  <c r="G78" i="1"/>
  <c r="Q77" i="1"/>
  <c r="P77" i="1"/>
  <c r="O77" i="1"/>
  <c r="I77" i="1"/>
  <c r="H77" i="1"/>
  <c r="G77" i="1"/>
  <c r="Q76" i="1"/>
  <c r="P76" i="1"/>
  <c r="O76" i="1"/>
  <c r="I76" i="1"/>
  <c r="H76" i="1"/>
  <c r="G76" i="1"/>
  <c r="Q75" i="1"/>
  <c r="P75" i="1"/>
  <c r="O75" i="1"/>
  <c r="I75" i="1"/>
  <c r="H75" i="1"/>
  <c r="G75" i="1"/>
  <c r="Q74" i="1"/>
  <c r="P74" i="1"/>
  <c r="O74" i="1"/>
  <c r="I74" i="1"/>
  <c r="H74" i="1"/>
  <c r="G74" i="1"/>
  <c r="Q73" i="1"/>
  <c r="P73" i="1"/>
  <c r="O73" i="1"/>
  <c r="I73" i="1"/>
  <c r="H73" i="1"/>
  <c r="G73" i="1"/>
  <c r="Q72" i="1"/>
  <c r="P72" i="1"/>
  <c r="O72" i="1"/>
  <c r="I72" i="1"/>
  <c r="H72" i="1"/>
  <c r="G72" i="1"/>
  <c r="Q71" i="1"/>
  <c r="P71" i="1"/>
  <c r="O71" i="1"/>
  <c r="I71" i="1"/>
  <c r="H71" i="1"/>
  <c r="G71" i="1"/>
  <c r="Q70" i="1"/>
  <c r="P70" i="1"/>
  <c r="O70" i="1"/>
  <c r="I70" i="1"/>
  <c r="H70" i="1"/>
  <c r="G70" i="1"/>
  <c r="Q69" i="1"/>
  <c r="P69" i="1"/>
  <c r="O69" i="1"/>
  <c r="I69" i="1"/>
  <c r="H69" i="1"/>
  <c r="G69" i="1"/>
  <c r="Q68" i="1"/>
  <c r="P68" i="1"/>
  <c r="O68" i="1"/>
  <c r="I68" i="1"/>
  <c r="H68" i="1"/>
  <c r="G68" i="1"/>
  <c r="Q67" i="1"/>
  <c r="P67" i="1"/>
  <c r="O67" i="1"/>
  <c r="I67" i="1"/>
  <c r="H67" i="1"/>
  <c r="G67" i="1"/>
  <c r="Q66" i="1"/>
  <c r="P66" i="1"/>
  <c r="O66" i="1"/>
  <c r="I66" i="1"/>
  <c r="H66" i="1"/>
  <c r="G66" i="1"/>
  <c r="Q65" i="1"/>
  <c r="P65" i="1"/>
  <c r="O65" i="1"/>
  <c r="I65" i="1"/>
  <c r="H65" i="1"/>
  <c r="G65" i="1"/>
  <c r="Q64" i="1"/>
  <c r="P64" i="1"/>
  <c r="O64" i="1"/>
  <c r="I64" i="1"/>
  <c r="H64" i="1"/>
  <c r="G64" i="1"/>
  <c r="Q63" i="1"/>
  <c r="P63" i="1"/>
  <c r="O63" i="1"/>
  <c r="I63" i="1"/>
  <c r="H63" i="1"/>
  <c r="G63" i="1"/>
  <c r="Q62" i="1"/>
  <c r="P62" i="1"/>
  <c r="O62" i="1"/>
  <c r="I62" i="1"/>
  <c r="H62" i="1"/>
  <c r="G62" i="1"/>
  <c r="Q61" i="1"/>
  <c r="P61" i="1"/>
  <c r="O61" i="1"/>
  <c r="I61" i="1"/>
  <c r="H61" i="1"/>
  <c r="G61" i="1"/>
  <c r="Q60" i="1"/>
  <c r="P60" i="1"/>
  <c r="O60" i="1"/>
  <c r="I60" i="1"/>
  <c r="H60" i="1"/>
  <c r="G60" i="1"/>
  <c r="Q59" i="1"/>
  <c r="P59" i="1"/>
  <c r="O59" i="1"/>
  <c r="I59" i="1"/>
  <c r="H59" i="1"/>
  <c r="G59" i="1"/>
  <c r="Q58" i="1"/>
  <c r="P58" i="1"/>
  <c r="O58" i="1"/>
  <c r="I58" i="1"/>
  <c r="H58" i="1"/>
  <c r="G58" i="1"/>
  <c r="Q57" i="1"/>
  <c r="P57" i="1"/>
  <c r="O57" i="1"/>
  <c r="I57" i="1"/>
  <c r="H57" i="1"/>
  <c r="G57" i="1"/>
  <c r="Q56" i="1"/>
  <c r="P56" i="1"/>
  <c r="O56" i="1"/>
  <c r="I56" i="1"/>
  <c r="H56" i="1"/>
  <c r="G56" i="1"/>
  <c r="Q55" i="1"/>
  <c r="P55" i="1"/>
  <c r="O55" i="1"/>
  <c r="I55" i="1"/>
  <c r="H55" i="1"/>
  <c r="G55" i="1"/>
  <c r="Q54" i="1"/>
  <c r="P54" i="1"/>
  <c r="O54" i="1"/>
  <c r="I54" i="1"/>
  <c r="H54" i="1"/>
  <c r="G54" i="1"/>
  <c r="Q53" i="1"/>
  <c r="P53" i="1"/>
  <c r="O53" i="1"/>
  <c r="I53" i="1"/>
  <c r="H53" i="1"/>
  <c r="G53" i="1"/>
  <c r="Q52" i="1"/>
  <c r="P52" i="1"/>
  <c r="O52" i="1"/>
  <c r="I52" i="1"/>
  <c r="H52" i="1"/>
  <c r="G52" i="1"/>
  <c r="Q51" i="1"/>
  <c r="P51" i="1"/>
  <c r="O51" i="1"/>
  <c r="I51" i="1"/>
  <c r="H51" i="1"/>
  <c r="G51" i="1"/>
  <c r="Q50" i="1"/>
  <c r="P50" i="1"/>
  <c r="O50" i="1"/>
  <c r="I50" i="1"/>
  <c r="H50" i="1"/>
  <c r="G50" i="1"/>
  <c r="Q49" i="1"/>
  <c r="P49" i="1"/>
  <c r="O49" i="1"/>
  <c r="I49" i="1"/>
  <c r="H49" i="1"/>
  <c r="G49" i="1"/>
  <c r="Q48" i="1"/>
  <c r="P48" i="1"/>
  <c r="O48" i="1"/>
  <c r="I48" i="1"/>
  <c r="H48" i="1"/>
  <c r="G48" i="1"/>
  <c r="Q47" i="1"/>
  <c r="P47" i="1"/>
  <c r="O47" i="1"/>
  <c r="I47" i="1"/>
  <c r="H47" i="1"/>
  <c r="G47" i="1"/>
  <c r="Q46" i="1"/>
  <c r="P46" i="1"/>
  <c r="O46" i="1"/>
  <c r="I46" i="1"/>
  <c r="H46" i="1"/>
  <c r="G46" i="1"/>
  <c r="Q45" i="1"/>
  <c r="P45" i="1"/>
  <c r="O45" i="1"/>
  <c r="I45" i="1"/>
  <c r="H45" i="1"/>
  <c r="G45" i="1"/>
  <c r="Q44" i="1"/>
  <c r="P44" i="1"/>
  <c r="O44" i="1"/>
  <c r="I44" i="1"/>
  <c r="H44" i="1"/>
  <c r="G44" i="1"/>
  <c r="Q43" i="1"/>
  <c r="P43" i="1"/>
  <c r="O43" i="1"/>
  <c r="I43" i="1"/>
  <c r="H43" i="1"/>
  <c r="G43" i="1"/>
  <c r="Q42" i="1"/>
  <c r="P42" i="1"/>
  <c r="O42" i="1"/>
  <c r="I42" i="1"/>
  <c r="H42" i="1"/>
  <c r="G42" i="1"/>
  <c r="Q41" i="1"/>
  <c r="P41" i="1"/>
  <c r="O41" i="1"/>
  <c r="I41" i="1"/>
  <c r="H41" i="1"/>
  <c r="G41" i="1"/>
  <c r="Q40" i="1"/>
  <c r="P40" i="1"/>
  <c r="O40" i="1"/>
  <c r="I40" i="1"/>
  <c r="H40" i="1"/>
  <c r="G40" i="1"/>
  <c r="Q39" i="1"/>
  <c r="P39" i="1"/>
  <c r="O39" i="1"/>
  <c r="I39" i="1"/>
  <c r="H39" i="1"/>
  <c r="G39" i="1"/>
  <c r="Q38" i="1"/>
  <c r="P38" i="1"/>
  <c r="O38" i="1"/>
  <c r="I38" i="1"/>
  <c r="H38" i="1"/>
  <c r="G38" i="1"/>
  <c r="Q37" i="1"/>
  <c r="P37" i="1"/>
  <c r="O37" i="1"/>
  <c r="I37" i="1"/>
  <c r="H37" i="1"/>
  <c r="G37" i="1"/>
  <c r="Q36" i="1"/>
  <c r="P36" i="1"/>
  <c r="O36" i="1"/>
  <c r="I36" i="1"/>
  <c r="H36" i="1"/>
  <c r="G36" i="1"/>
  <c r="Q35" i="1"/>
  <c r="P35" i="1"/>
  <c r="O35" i="1"/>
  <c r="I35" i="1"/>
  <c r="H35" i="1"/>
  <c r="G35" i="1"/>
  <c r="Q34" i="1"/>
  <c r="P34" i="1"/>
  <c r="O34" i="1"/>
  <c r="I34" i="1"/>
  <c r="H34" i="1"/>
  <c r="G34" i="1"/>
  <c r="Q33" i="1"/>
  <c r="P33" i="1"/>
  <c r="O33" i="1"/>
  <c r="I33" i="1"/>
  <c r="H33" i="1"/>
  <c r="G33" i="1"/>
  <c r="Q32" i="1"/>
  <c r="P32" i="1"/>
  <c r="O32" i="1"/>
  <c r="I32" i="1"/>
  <c r="H32" i="1"/>
  <c r="G32" i="1"/>
  <c r="Q31" i="1"/>
  <c r="P31" i="1"/>
  <c r="O31" i="1"/>
  <c r="I31" i="1"/>
  <c r="H31" i="1"/>
  <c r="G31" i="1"/>
  <c r="Q30" i="1"/>
  <c r="P30" i="1"/>
  <c r="O30" i="1"/>
  <c r="I30" i="1"/>
  <c r="H30" i="1"/>
  <c r="G30" i="1"/>
  <c r="Q29" i="1"/>
  <c r="P29" i="1"/>
  <c r="O29" i="1"/>
  <c r="I29" i="1"/>
  <c r="H29" i="1"/>
  <c r="G29" i="1"/>
  <c r="Q28" i="1"/>
  <c r="P28" i="1"/>
  <c r="O28" i="1"/>
  <c r="I28" i="1"/>
  <c r="H28" i="1"/>
  <c r="G28" i="1"/>
  <c r="Q27" i="1"/>
  <c r="P27" i="1"/>
  <c r="O27" i="1"/>
  <c r="I27" i="1"/>
  <c r="H27" i="1"/>
  <c r="G27" i="1"/>
  <c r="Q26" i="1"/>
  <c r="P26" i="1"/>
  <c r="O26" i="1"/>
  <c r="I26" i="1"/>
  <c r="H26" i="1"/>
  <c r="G26" i="1"/>
  <c r="Q25" i="1"/>
  <c r="P25" i="1"/>
  <c r="O25" i="1"/>
  <c r="I25" i="1"/>
  <c r="H25" i="1"/>
  <c r="G25" i="1"/>
  <c r="Q24" i="1"/>
  <c r="P24" i="1"/>
  <c r="O24" i="1"/>
  <c r="I24" i="1"/>
  <c r="H24" i="1"/>
  <c r="G24" i="1"/>
  <c r="Q23" i="1"/>
  <c r="P23" i="1"/>
  <c r="O23" i="1"/>
  <c r="I23" i="1"/>
  <c r="H23" i="1"/>
  <c r="G23" i="1"/>
  <c r="Q22" i="1"/>
  <c r="P22" i="1"/>
  <c r="O22" i="1"/>
  <c r="I22" i="1"/>
  <c r="H22" i="1"/>
  <c r="G22" i="1"/>
  <c r="Q21" i="1"/>
  <c r="P21" i="1"/>
  <c r="O21" i="1"/>
  <c r="I21" i="1"/>
  <c r="H21" i="1"/>
  <c r="G21" i="1"/>
  <c r="Q20" i="1"/>
  <c r="P20" i="1"/>
  <c r="O20" i="1"/>
  <c r="I20" i="1"/>
  <c r="H20" i="1"/>
  <c r="G20" i="1"/>
  <c r="Q19" i="1"/>
  <c r="P19" i="1"/>
  <c r="O19" i="1"/>
  <c r="I19" i="1"/>
  <c r="H19" i="1"/>
  <c r="G19" i="1"/>
  <c r="Q18" i="1"/>
  <c r="P18" i="1"/>
  <c r="O18" i="1"/>
  <c r="I18" i="1"/>
  <c r="H18" i="1"/>
  <c r="G18" i="1"/>
  <c r="Q17" i="1"/>
  <c r="P17" i="1"/>
  <c r="O17" i="1"/>
  <c r="I17" i="1"/>
  <c r="H17" i="1"/>
  <c r="G17" i="1"/>
  <c r="Q16" i="1"/>
  <c r="P16" i="1"/>
  <c r="O16" i="1"/>
  <c r="I16" i="1"/>
  <c r="H16" i="1"/>
  <c r="G16" i="1"/>
  <c r="Q15" i="1"/>
  <c r="P15" i="1"/>
  <c r="O15" i="1"/>
  <c r="I15" i="1"/>
  <c r="H15" i="1"/>
  <c r="G15" i="1"/>
  <c r="Q14" i="1"/>
  <c r="P14" i="1"/>
  <c r="O14" i="1"/>
  <c r="I14" i="1"/>
  <c r="H14" i="1"/>
  <c r="G14" i="1"/>
  <c r="Q13" i="1"/>
  <c r="P13" i="1"/>
  <c r="O13" i="1"/>
  <c r="I13" i="1"/>
  <c r="H13" i="1"/>
  <c r="G13" i="1"/>
  <c r="Q12" i="1"/>
  <c r="P12" i="1"/>
  <c r="O12" i="1"/>
  <c r="I12" i="1"/>
  <c r="H12" i="1"/>
  <c r="G12" i="1"/>
  <c r="Q11" i="1"/>
  <c r="P11" i="1"/>
  <c r="O11" i="1"/>
  <c r="I11" i="1"/>
  <c r="H11" i="1"/>
  <c r="G11" i="1"/>
  <c r="Q10" i="1"/>
  <c r="P10" i="1"/>
  <c r="O10" i="1"/>
  <c r="I10" i="1"/>
  <c r="H10" i="1"/>
  <c r="G10" i="1"/>
  <c r="Q9" i="1"/>
  <c r="P9" i="1"/>
  <c r="O9" i="1"/>
  <c r="I9" i="1"/>
  <c r="H9" i="1"/>
  <c r="G9" i="1"/>
  <c r="Q8" i="1"/>
  <c r="P8" i="1"/>
  <c r="O8" i="1"/>
  <c r="I8" i="1"/>
  <c r="H8" i="1"/>
  <c r="G8" i="1"/>
  <c r="Q7" i="1"/>
  <c r="P7" i="1"/>
  <c r="O7" i="1"/>
  <c r="I7" i="1"/>
  <c r="H7" i="1"/>
  <c r="G7" i="1"/>
  <c r="Q6" i="1"/>
  <c r="P6" i="1"/>
  <c r="O6" i="1"/>
  <c r="I6" i="1"/>
  <c r="H6" i="1"/>
  <c r="G6" i="1"/>
</calcChain>
</file>

<file path=xl/sharedStrings.xml><?xml version="1.0" encoding="utf-8"?>
<sst xmlns="http://schemas.openxmlformats.org/spreadsheetml/2006/main" count="292" uniqueCount="205">
  <si>
    <t>INDICADORES DE MUNICIPIOS INDÍGENAS DEL ESTADO DE PUEBLA</t>
  </si>
  <si>
    <t>SALUD</t>
  </si>
  <si>
    <t>REGIÓN</t>
  </si>
  <si>
    <t>NO.</t>
  </si>
  <si>
    <t>MUNICIPIO</t>
  </si>
  <si>
    <t>Natalidad ₂</t>
  </si>
  <si>
    <t>Porcentaje de Natalidad ₇</t>
  </si>
  <si>
    <t>Mortalidad ₁</t>
  </si>
  <si>
    <t xml:space="preserve">Población </t>
  </si>
  <si>
    <t>Porcentaje de Mortalidad ₇</t>
  </si>
  <si>
    <t>Unidades médicas en servicio de las instituciones del sector público de salud por municipio ₃</t>
  </si>
  <si>
    <t>Personal médico de las instituciones del sector público de salud b/ ₅</t>
  </si>
  <si>
    <t xml:space="preserve">Casas y técnicas en salud coordinadas por la SSA a/  ₄
</t>
  </si>
  <si>
    <t>Porcentaje de personas con carencia por acceso a los servicios de salud c/ ₆</t>
  </si>
  <si>
    <t>Nivel de atención</t>
  </si>
  <si>
    <t>Con seguridad social</t>
  </si>
  <si>
    <t xml:space="preserve">Sin seguridad social </t>
  </si>
  <si>
    <t>Otros</t>
  </si>
  <si>
    <t>Total</t>
  </si>
  <si>
    <t xml:space="preserve">Hombres </t>
  </si>
  <si>
    <t>Mujeres</t>
  </si>
  <si>
    <t xml:space="preserve">Total </t>
  </si>
  <si>
    <t>Hombres</t>
  </si>
  <si>
    <t xml:space="preserve">Mujeres </t>
  </si>
  <si>
    <t xml:space="preserve">no especificado </t>
  </si>
  <si>
    <t>De consulta externa</t>
  </si>
  <si>
    <t>De hospitalización general</t>
  </si>
  <si>
    <t>De hospitalización especializada</t>
  </si>
  <si>
    <t>IMSS, ISSSTE,ISSSTEP,PEMEX Y SEDENA</t>
  </si>
  <si>
    <t>IMSS-BIENESTAR Y SSA</t>
  </si>
  <si>
    <t>HU/BUAP Y DIF</t>
  </si>
  <si>
    <t>REGIÓN 1. XICOTEPEC</t>
  </si>
  <si>
    <t>Naupan</t>
  </si>
  <si>
    <t>S/D</t>
  </si>
  <si>
    <t>10.7%</t>
  </si>
  <si>
    <t>Zihuateutla</t>
  </si>
  <si>
    <t>17.5%</t>
  </si>
  <si>
    <t>Pantepec</t>
  </si>
  <si>
    <t>20.7%</t>
  </si>
  <si>
    <t>Tlacuilotepec</t>
  </si>
  <si>
    <t>21.0%</t>
  </si>
  <si>
    <t>Pahuatlán</t>
  </si>
  <si>
    <t>21.3%</t>
  </si>
  <si>
    <t>Xicotepec</t>
  </si>
  <si>
    <t>36.3%</t>
  </si>
  <si>
    <t>REGIÓN 2. HUAUCHINANGO</t>
  </si>
  <si>
    <t>Tlapacoya</t>
  </si>
  <si>
    <t>5.7%</t>
  </si>
  <si>
    <t>Chiconcuautla</t>
  </si>
  <si>
    <t>14.4%</t>
  </si>
  <si>
    <t>Tlaola</t>
  </si>
  <si>
    <t>15.5%</t>
  </si>
  <si>
    <t>Jopala</t>
  </si>
  <si>
    <t>20.3%</t>
  </si>
  <si>
    <t>Huauchinango</t>
  </si>
  <si>
    <t>32.8</t>
  </si>
  <si>
    <t>REGIÓN 3. ZACATLÁN</t>
  </si>
  <si>
    <t>Tepango de Rodríguez</t>
  </si>
  <si>
    <t>29.3%</t>
  </si>
  <si>
    <t>Hermenegildo Galeana</t>
  </si>
  <si>
    <t>8.2%</t>
  </si>
  <si>
    <t>Camocuautla</t>
  </si>
  <si>
    <t>3.1%</t>
  </si>
  <si>
    <t>Amixtlán</t>
  </si>
  <si>
    <t>10.9%</t>
  </si>
  <si>
    <t>San Felipe Tepatlán</t>
  </si>
  <si>
    <t>14.9%</t>
  </si>
  <si>
    <t>Coatepec</t>
  </si>
  <si>
    <t>10.3%</t>
  </si>
  <si>
    <t>Tepetzintla</t>
  </si>
  <si>
    <t>6.6%</t>
  </si>
  <si>
    <t>Ahuacatlán</t>
  </si>
  <si>
    <t>8.0%</t>
  </si>
  <si>
    <t>Zacatlán</t>
  </si>
  <si>
    <t>25.9%</t>
  </si>
  <si>
    <t>REGIÓN 4. HUEHUETLA</t>
  </si>
  <si>
    <t>Ixtepec</t>
  </si>
  <si>
    <t>16.5%</t>
  </si>
  <si>
    <t>Hueytlalpan</t>
  </si>
  <si>
    <t>Atlequizayan</t>
  </si>
  <si>
    <t>19.3%</t>
  </si>
  <si>
    <t>Huehuetla</t>
  </si>
  <si>
    <t>Olintla</t>
  </si>
  <si>
    <t>9.4%</t>
  </si>
  <si>
    <t>Caxhuacan</t>
  </si>
  <si>
    <t>23.3%</t>
  </si>
  <si>
    <t>Zongozotla</t>
  </si>
  <si>
    <t>7.3%</t>
  </si>
  <si>
    <t>Zapotitlán de Méndez</t>
  </si>
  <si>
    <t>28.9%</t>
  </si>
  <si>
    <t>Xochitlán de Vicente Suárez</t>
  </si>
  <si>
    <t>17.7 %</t>
  </si>
  <si>
    <t>Huitzilan de Serdán</t>
  </si>
  <si>
    <t>14.0%</t>
  </si>
  <si>
    <t>REGIÓN 5. ZACAPOAXTLA</t>
  </si>
  <si>
    <t>Zoquiapan</t>
  </si>
  <si>
    <t>15.9%</t>
  </si>
  <si>
    <t>Jonotla</t>
  </si>
  <si>
    <t>20.5%</t>
  </si>
  <si>
    <t>Xochiapulco</t>
  </si>
  <si>
    <t>Tuzamapan de Galeana</t>
  </si>
  <si>
    <t>9.7%</t>
  </si>
  <si>
    <t>Zautla</t>
  </si>
  <si>
    <t>24.1%</t>
  </si>
  <si>
    <t>Cuetzalan del Progreso</t>
  </si>
  <si>
    <t>19.5%</t>
  </si>
  <si>
    <t>Zacapoaxtla</t>
  </si>
  <si>
    <t>24.7%</t>
  </si>
  <si>
    <t>REGIÓN 6. TEZIUTLÁN</t>
  </si>
  <si>
    <t>Hueyapan</t>
  </si>
  <si>
    <t>33.4%</t>
  </si>
  <si>
    <t>Ayotoxco de Guerrero</t>
  </si>
  <si>
    <t>Atempan</t>
  </si>
  <si>
    <t>37.9%</t>
  </si>
  <si>
    <t>Chignautla</t>
  </si>
  <si>
    <t>40.4%</t>
  </si>
  <si>
    <t>Teziutlán</t>
  </si>
  <si>
    <t>35.1%</t>
  </si>
  <si>
    <t>Tlatlauquitepec</t>
  </si>
  <si>
    <t>21.8%</t>
  </si>
  <si>
    <t>Yaonáhuac</t>
  </si>
  <si>
    <t>25.7%</t>
  </si>
  <si>
    <t>REGIÓN 7. CHIGNAHUAPAN</t>
  </si>
  <si>
    <t>Cuautempan</t>
  </si>
  <si>
    <t>Ixtacamaxtitlán</t>
  </si>
  <si>
    <t>Tetela de Ocampo</t>
  </si>
  <si>
    <t>29.9%</t>
  </si>
  <si>
    <t>REGIÓN 9. QUIMIXTLÁN</t>
  </si>
  <si>
    <t>Chichiquila</t>
  </si>
  <si>
    <t>28.8%</t>
  </si>
  <si>
    <t>REGIÓN 12. TECAMACHALCO</t>
  </si>
  <si>
    <t>Tlacotepec de Benito Juárez</t>
  </si>
  <si>
    <t>36.9%</t>
  </si>
  <si>
    <t>REGIÓN 13. TEHUACÁN</t>
  </si>
  <si>
    <t>San Antonio Cañada</t>
  </si>
  <si>
    <t>24.3%</t>
  </si>
  <si>
    <t>San José Miahuatlán</t>
  </si>
  <si>
    <t>30.2%</t>
  </si>
  <si>
    <t>San Gabriel Chilac</t>
  </si>
  <si>
    <t>36.2%</t>
  </si>
  <si>
    <t>Coxcatlán</t>
  </si>
  <si>
    <t>Altepexi</t>
  </si>
  <si>
    <t>40.9%</t>
  </si>
  <si>
    <t>Tehuacán</t>
  </si>
  <si>
    <t>Zinacatepec</t>
  </si>
  <si>
    <t>Santiago Miahuatlan</t>
  </si>
  <si>
    <t>31.8%</t>
  </si>
  <si>
    <t>REGIÓN 14. SIERRA NEGRA</t>
  </si>
  <si>
    <t>Eloxochitlán</t>
  </si>
  <si>
    <t>16.2%</t>
  </si>
  <si>
    <t>Zoquitlán</t>
  </si>
  <si>
    <t>11.2%</t>
  </si>
  <si>
    <t>Vicente Guerrero</t>
  </si>
  <si>
    <t>10.5%</t>
  </si>
  <si>
    <t>Coyomeapan</t>
  </si>
  <si>
    <t>13.8%</t>
  </si>
  <si>
    <t>San Sebastián Tlacotepec</t>
  </si>
  <si>
    <t>11.0%</t>
  </si>
  <si>
    <t>Ajalpan</t>
  </si>
  <si>
    <t>33.7%</t>
  </si>
  <si>
    <t>REGIÓN 15. IZÚCAR DE MATAMOROS</t>
  </si>
  <si>
    <t>Teopantlán</t>
  </si>
  <si>
    <t>24.5%</t>
  </si>
  <si>
    <t>REGIÓN 17. ACATLÁN</t>
  </si>
  <si>
    <t>San Jerónimo Xayacatlán</t>
  </si>
  <si>
    <t>19.9%</t>
  </si>
  <si>
    <t>Xayacatlán de Bravo</t>
  </si>
  <si>
    <t>14.8%</t>
  </si>
  <si>
    <t>REGIÓN 18. 
TEPEXÍ DE RODRÍGUEZ</t>
  </si>
  <si>
    <t>Chigmecatitlán</t>
  </si>
  <si>
    <t>20.1%</t>
  </si>
  <si>
    <t>Huatlatlauca</t>
  </si>
  <si>
    <t>26.4%</t>
  </si>
  <si>
    <t>Santa Catarina Tlaltempan</t>
  </si>
  <si>
    <t>23.4%</t>
  </si>
  <si>
    <t>REGIÓN 19. ATLIXCO</t>
  </si>
  <si>
    <t>Acteopan</t>
  </si>
  <si>
    <t>7.9%</t>
  </si>
  <si>
    <t>Atlixco</t>
  </si>
  <si>
    <t>37.7%</t>
  </si>
  <si>
    <t xml:space="preserve">REGIÓN 21-31 ÁREA METROPOLITANA DE LA CIUDAD DE PUEBLA </t>
  </si>
  <si>
    <t>Amozoc</t>
  </si>
  <si>
    <t>35.5%</t>
  </si>
  <si>
    <t>Puebla</t>
  </si>
  <si>
    <t>5 261</t>
  </si>
  <si>
    <t>32.0%</t>
  </si>
  <si>
    <t>San Andrés Cholula</t>
  </si>
  <si>
    <t>38.8%</t>
  </si>
  <si>
    <t>REGIÓN 32. TEPEACA</t>
  </si>
  <si>
    <t>Tepatlaxco de Hidalgo</t>
  </si>
  <si>
    <t>28.5%</t>
  </si>
  <si>
    <t>Acajete</t>
  </si>
  <si>
    <t>Fuente:</t>
  </si>
  <si>
    <r>
      <rPr>
        <sz val="10"/>
        <rFont val="Aptos Narrow"/>
        <family val="2"/>
        <scheme val="minor"/>
      </rPr>
      <t>1. Instituto Nacional de Estadística y Geografía. (2022). Defunciones generales por municipio de residencia habitual del fallecido según sexo. [Conjunto de datos]. Estadísticas de Defunciones Registradas (EDR).</t>
    </r>
    <r>
      <rPr>
        <u/>
        <sz val="10"/>
        <color theme="10"/>
        <rFont val="Aptos Narrow"/>
        <family val="2"/>
        <scheme val="minor"/>
      </rPr>
      <t xml:space="preserve"> https://www.inegi.org.mx/programas/edr/#tabulados</t>
    </r>
  </si>
  <si>
    <r>
      <rPr>
        <sz val="10"/>
        <rFont val="Aptos Narrow"/>
        <family val="2"/>
        <scheme val="minor"/>
      </rPr>
      <t xml:space="preserve">2. Instituto Nacional de Estadística y Geografía. (2022). Nacimientos registrados por municipio de residencia habitual de la madre y sexo del registrado según año de ocurrencia. [Conjunto de datos]. Estadística de Nacimientos Registrados (ENR). </t>
    </r>
    <r>
      <rPr>
        <u/>
        <sz val="10"/>
        <color theme="10"/>
        <rFont val="Aptos Narrow"/>
        <family val="2"/>
        <scheme val="minor"/>
      </rPr>
      <t>https://www.inegi.org.mx/programas/natalidad/#tabulados</t>
    </r>
  </si>
  <si>
    <r>
      <rPr>
        <sz val="10"/>
        <rFont val="Aptos Narrow"/>
        <family val="2"/>
        <scheme val="minor"/>
      </rPr>
      <t>3. Instituto Nacional de Estadística y Geografía. (2023). Unidades médicas en servicio de las instituciones del sector público de salud. [Conjunto de datos]. Unidades médicas en servicio de las instituciones del sector público de salud por municipio y nivel de atención según institución Al 31 de diciembre de 2020.</t>
    </r>
    <r>
      <rPr>
        <u/>
        <sz val="10"/>
        <color theme="10"/>
        <rFont val="Aptos Narrow"/>
        <family val="2"/>
        <scheme val="minor"/>
      </rPr>
      <t xml:space="preserve">
https://www.inegi.org.mx/app/cuadroentidad/Pue/2023/05/5_6
</t>
    </r>
  </si>
  <si>
    <r>
      <rPr>
        <sz val="10"/>
        <rFont val="Aptos Narrow"/>
        <family val="2"/>
        <scheme val="minor"/>
      </rPr>
      <t xml:space="preserve">4. Instituto Nacional de Estadística y Geografía. (2023). Casas y técnicas en salud coordinadas por la SSA. [Conjunto de datos]. Casas y técnicas en salud coordinadas por la SSA por municipio 
Al 31 de diciembre de 2022. </t>
    </r>
    <r>
      <rPr>
        <u/>
        <sz val="10"/>
        <color theme="10"/>
        <rFont val="Aptos Narrow"/>
        <family val="2"/>
        <scheme val="minor"/>
      </rPr>
      <t xml:space="preserve">https://www.inegi.org.mx/app/cuadroentidad/Pue/2023/05/5_7
</t>
    </r>
  </si>
  <si>
    <r>
      <rPr>
        <sz val="10"/>
        <rFont val="Aptos Narrow"/>
        <family val="2"/>
        <scheme val="minor"/>
      </rPr>
      <t>5. Instituto Nacional de Estadística y Geografía. (2023). Personal médico de las instituciones del sector público de salud. [Conjunto de datos]. Personal médico de las instituciones del sector público de salud por municipio según institución Al 31 de diciembre de 2022.</t>
    </r>
    <r>
      <rPr>
        <u/>
        <sz val="10"/>
        <color theme="10"/>
        <rFont val="Aptos Narrow"/>
        <family val="2"/>
        <scheme val="minor"/>
      </rPr>
      <t xml:space="preserve">https://www.inegi.org.mx/app/cuadroentidad/Pue/2023/05/5_5
</t>
    </r>
  </si>
  <si>
    <r>
      <rPr>
        <sz val="10"/>
        <rFont val="Aptos Narrow"/>
        <family val="2"/>
        <scheme val="minor"/>
      </rPr>
      <t>6.  Consejo Nacional de Evaluación de la Política de Desarrollo Social. (2022). Porcentaje de personas con carencia por acceso a los servicios de salud. [Conjunto de datos]. Medición de la pobreza. Pobreza a nivel municipio 2010-2020</t>
    </r>
    <r>
      <rPr>
        <u/>
        <sz val="10"/>
        <color theme="10"/>
        <rFont val="Aptos Narrow"/>
        <family val="2"/>
        <scheme val="minor"/>
      </rPr>
      <t>.https://www.coneval.org.mx/Medicion/Paginas/Pobreza-municipio-2010-2020.aspx</t>
    </r>
  </si>
  <si>
    <t xml:space="preserve">7. Estimaciones del Instituto Poblano de los Pueblos indígenas, Dirección de Patrimonio Cultural, Investigación y Educación para la Equidad. (2024). Con base en el Instituto Nacional de Estadística y Geografía. </t>
  </si>
  <si>
    <t>TIPOLOGÍA</t>
  </si>
  <si>
    <r>
      <rPr>
        <b/>
        <sz val="10"/>
        <color rgb="FF000000"/>
        <rFont val="Nunito"/>
      </rPr>
      <t>a/</t>
    </r>
    <r>
      <rPr>
        <sz val="10"/>
        <color rgb="FF000000"/>
        <rFont val="Nunito"/>
      </rPr>
      <t xml:space="preserve"> Se refiere a las personas oriundas de las propias comunidades, líderes que gozan de prestigio y reconocimiento y que están capacitadas para otorgar servicios básicos de salud.</t>
    </r>
  </si>
  <si>
    <t xml:space="preserve">b/El personal médico comprende: generales, especialistas, odontólogos, residentes, pasantes y en otras labores.
</t>
  </si>
  <si>
    <t>S/D se refiere a "Sin Datos"</t>
  </si>
  <si>
    <t>c/ el porcentaje es con relación a la población recabada del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</si>
</sst>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28">
    <font>
      <sz val="10"/>
      <color rgb="FF000000"/>
      <name val="Aptos Narrow"/>
      <family val="2"/>
      <scheme val="minor"/>
    </font>
    <font>
      <b/>
      <sz val="10"/>
      <color rgb="FFFFFFFF"/>
      <name val="Nunito"/>
    </font>
    <font>
      <sz val="10"/>
      <name val="Arial"/>
      <family val="2"/>
    </font>
    <font>
      <b/>
      <sz val="8"/>
      <color theme="1"/>
      <name val="Nunito"/>
    </font>
    <font>
      <b/>
      <sz val="10"/>
      <color rgb="FF202122"/>
      <name val="Nunito"/>
    </font>
    <font>
      <b/>
      <sz val="8"/>
      <color rgb="FF000000"/>
      <name val="Nunito"/>
    </font>
    <font>
      <b/>
      <sz val="9"/>
      <color theme="1"/>
      <name val="Nunito"/>
    </font>
    <font>
      <sz val="9"/>
      <color theme="1"/>
      <name val="Nunito"/>
    </font>
    <font>
      <sz val="9"/>
      <color rgb="FF202122"/>
      <name val="Nunito"/>
    </font>
    <font>
      <b/>
      <sz val="9"/>
      <color rgb="FF434343"/>
      <name val="Nunito"/>
    </font>
    <font>
      <sz val="9"/>
      <color theme="1"/>
      <name val="Aptos Narrow"/>
      <family val="2"/>
      <scheme val="minor"/>
    </font>
    <font>
      <sz val="9"/>
      <color rgb="FF000000"/>
      <name val="Calibri"/>
      <family val="2"/>
    </font>
    <font>
      <sz val="10"/>
      <color rgb="FF000000"/>
      <name val="Arial"/>
      <family val="2"/>
    </font>
    <font>
      <sz val="9"/>
      <color rgb="FF201F1E"/>
      <name val="Nunito"/>
    </font>
    <font>
      <sz val="9"/>
      <color rgb="FF000000"/>
      <name val="Nunito"/>
    </font>
    <font>
      <sz val="9"/>
      <color rgb="FF222222"/>
      <name val="Nunito"/>
    </font>
    <font>
      <sz val="10"/>
      <color theme="1"/>
      <name val="Aptos Narrow"/>
      <family val="2"/>
      <scheme val="minor"/>
    </font>
    <font>
      <sz val="9"/>
      <color rgb="FF050505"/>
      <name val="Nunito"/>
    </font>
    <font>
      <b/>
      <sz val="10"/>
      <color theme="1"/>
      <name val="Arial"/>
      <family val="2"/>
    </font>
    <font>
      <sz val="10"/>
      <color rgb="FF000000"/>
      <name val="Century Gothic"/>
      <family val="1"/>
    </font>
    <font>
      <u/>
      <sz val="10"/>
      <color theme="1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00000"/>
      <name val="Nunito"/>
    </font>
    <font>
      <b/>
      <sz val="10"/>
      <color rgb="FF000000"/>
      <name val="Century Gothic"/>
      <family val="1"/>
    </font>
    <font>
      <sz val="9"/>
      <color rgb="FF000000"/>
      <name val="Arial"/>
      <family val="2"/>
    </font>
    <font>
      <b/>
      <sz val="10"/>
      <color rgb="FF000000"/>
      <name val="Nunito"/>
    </font>
    <font>
      <b/>
      <sz val="10"/>
      <color theme="1"/>
      <name val="Nunito"/>
    </font>
    <font>
      <sz val="10"/>
      <color theme="1"/>
      <name val="Nunito"/>
    </font>
  </fonts>
  <fills count="5">
    <fill>
      <patternFill patternType="none"/>
    </fill>
    <fill>
      <patternFill patternType="gray125"/>
    </fill>
    <fill>
      <patternFill patternType="solid">
        <fgColor rgb="FF741B47"/>
        <bgColor rgb="FF741B47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107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10" fontId="3" fillId="3" borderId="12" xfId="0" applyNumberFormat="1" applyFont="1" applyFill="1" applyBorder="1" applyAlignment="1">
      <alignment horizontal="center" vertical="center" wrapText="1"/>
    </xf>
    <xf numFmtId="10" fontId="3" fillId="3" borderId="3" xfId="0" applyNumberFormat="1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2" xfId="0" applyFont="1" applyFill="1" applyBorder="1"/>
    <xf numFmtId="0" fontId="8" fillId="0" borderId="13" xfId="0" applyFont="1" applyBorder="1" applyAlignment="1">
      <alignment horizontal="center"/>
    </xf>
    <xf numFmtId="10" fontId="9" fillId="0" borderId="13" xfId="0" applyNumberFormat="1" applyFont="1" applyBorder="1" applyAlignment="1">
      <alignment horizontal="center"/>
    </xf>
    <xf numFmtId="10" fontId="7" fillId="0" borderId="13" xfId="0" applyNumberFormat="1" applyFont="1" applyBorder="1" applyAlignment="1">
      <alignment horizontal="center"/>
    </xf>
    <xf numFmtId="164" fontId="7" fillId="0" borderId="12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3" fontId="11" fillId="0" borderId="12" xfId="0" applyNumberFormat="1" applyFont="1" applyBorder="1" applyAlignment="1">
      <alignment horizontal="center"/>
    </xf>
    <xf numFmtId="10" fontId="7" fillId="0" borderId="3" xfId="0" applyNumberFormat="1" applyFont="1" applyBorder="1" applyAlignment="1">
      <alignment horizontal="center" vertical="center" wrapText="1"/>
    </xf>
    <xf numFmtId="10" fontId="7" fillId="0" borderId="7" xfId="0" applyNumberFormat="1" applyFont="1" applyBorder="1" applyAlignment="1">
      <alignment horizontal="center" vertical="center" wrapText="1"/>
    </xf>
    <xf numFmtId="10" fontId="7" fillId="0" borderId="4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7" fillId="4" borderId="12" xfId="0" applyFont="1" applyFill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2" fillId="0" borderId="0" xfId="0" applyFont="1"/>
    <xf numFmtId="0" fontId="7" fillId="0" borderId="0" xfId="0" applyFont="1" applyAlignment="1">
      <alignment horizontal="center" vertical="center" wrapText="1"/>
    </xf>
    <xf numFmtId="0" fontId="13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3" fillId="0" borderId="0" xfId="0" applyFont="1" applyAlignment="1">
      <alignment wrapText="1"/>
    </xf>
    <xf numFmtId="0" fontId="15" fillId="0" borderId="0" xfId="0" applyFont="1"/>
    <xf numFmtId="0" fontId="7" fillId="0" borderId="12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7" fillId="0" borderId="12" xfId="0" applyFont="1" applyBorder="1" applyAlignment="1">
      <alignment horizontal="center" wrapText="1"/>
    </xf>
    <xf numFmtId="3" fontId="7" fillId="0" borderId="12" xfId="0" applyNumberFormat="1" applyFont="1" applyBorder="1" applyAlignment="1">
      <alignment horizontal="center"/>
    </xf>
    <xf numFmtId="0" fontId="7" fillId="0" borderId="12" xfId="0" applyFont="1" applyBorder="1"/>
    <xf numFmtId="0" fontId="17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11" fillId="0" borderId="12" xfId="0" applyNumberFormat="1" applyFont="1" applyBorder="1" applyAlignment="1">
      <alignment horizontal="center"/>
    </xf>
    <xf numFmtId="0" fontId="7" fillId="4" borderId="12" xfId="0" applyFont="1" applyFill="1" applyBorder="1" applyAlignment="1">
      <alignment vertical="center"/>
    </xf>
    <xf numFmtId="10" fontId="7" fillId="0" borderId="3" xfId="0" applyNumberFormat="1" applyFont="1" applyBorder="1" applyAlignment="1">
      <alignment horizontal="center" wrapText="1"/>
    </xf>
    <xf numFmtId="10" fontId="7" fillId="0" borderId="7" xfId="0" applyNumberFormat="1" applyFont="1" applyBorder="1" applyAlignment="1">
      <alignment horizontal="center" wrapText="1"/>
    </xf>
    <xf numFmtId="10" fontId="7" fillId="0" borderId="4" xfId="0" applyNumberFormat="1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10" fontId="7" fillId="0" borderId="12" xfId="0" applyNumberFormat="1" applyFont="1" applyBorder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right" vertical="center"/>
    </xf>
    <xf numFmtId="0" fontId="14" fillId="0" borderId="0" xfId="0" applyFont="1"/>
    <xf numFmtId="0" fontId="7" fillId="0" borderId="0" xfId="0" applyFont="1" applyAlignment="1">
      <alignment horizontal="right" vertical="center" wrapText="1"/>
    </xf>
    <xf numFmtId="0" fontId="12" fillId="0" borderId="0" xfId="0" applyFont="1" applyAlignment="1">
      <alignment horizontal="right"/>
    </xf>
    <xf numFmtId="0" fontId="23" fillId="0" borderId="0" xfId="0" applyFont="1" applyAlignment="1">
      <alignment horizontal="center"/>
    </xf>
    <xf numFmtId="0" fontId="24" fillId="0" borderId="0" xfId="0" applyFont="1"/>
    <xf numFmtId="10" fontId="24" fillId="0" borderId="0" xfId="0" applyNumberFormat="1" applyFont="1" applyAlignment="1">
      <alignment horizontal="right"/>
    </xf>
    <xf numFmtId="10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 vertical="center"/>
    </xf>
    <xf numFmtId="0" fontId="18" fillId="0" borderId="5" xfId="0" applyFont="1" applyBorder="1" applyAlignment="1">
      <alignment wrapText="1"/>
    </xf>
    <xf numFmtId="0" fontId="18" fillId="0" borderId="7" xfId="0" applyFont="1" applyBorder="1" applyAlignment="1">
      <alignment wrapText="1"/>
    </xf>
    <xf numFmtId="0" fontId="18" fillId="0" borderId="14" xfId="0" applyFont="1" applyBorder="1" applyAlignment="1">
      <alignment wrapText="1"/>
    </xf>
    <xf numFmtId="0" fontId="18" fillId="0" borderId="15" xfId="0" applyFont="1" applyBorder="1" applyAlignment="1">
      <alignment wrapText="1"/>
    </xf>
    <xf numFmtId="0" fontId="18" fillId="0" borderId="9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0" fillId="0" borderId="0" xfId="0" applyFont="1"/>
    <xf numFmtId="10" fontId="10" fillId="0" borderId="0" xfId="0" applyNumberFormat="1" applyFont="1" applyAlignment="1">
      <alignment horizontal="right"/>
    </xf>
    <xf numFmtId="10" fontId="16" fillId="0" borderId="0" xfId="0" applyNumberFormat="1" applyFont="1" applyAlignment="1">
      <alignment horizontal="right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/>
    </xf>
    <xf numFmtId="0" fontId="25" fillId="3" borderId="1" xfId="0" applyFont="1" applyFill="1" applyBorder="1" applyAlignment="1">
      <alignment horizontal="center"/>
    </xf>
    <xf numFmtId="0" fontId="2" fillId="0" borderId="3" xfId="0" applyFont="1" applyBorder="1"/>
    <xf numFmtId="0" fontId="22" fillId="0" borderId="1" xfId="0" applyFont="1" applyBorder="1" applyAlignment="1">
      <alignment wrapText="1"/>
    </xf>
    <xf numFmtId="0" fontId="26" fillId="0" borderId="5" xfId="0" applyFont="1" applyBorder="1" applyAlignment="1">
      <alignment wrapText="1"/>
    </xf>
    <xf numFmtId="0" fontId="2" fillId="0" borderId="7" xfId="0" applyFont="1" applyBorder="1"/>
    <xf numFmtId="0" fontId="27" fillId="0" borderId="1" xfId="0" applyFont="1" applyBorder="1"/>
    <xf numFmtId="0" fontId="27" fillId="0" borderId="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9" xfId="0" applyFont="1" applyBorder="1"/>
    <xf numFmtId="0" fontId="2" fillId="0" borderId="11" xfId="0" applyFont="1" applyBorder="1"/>
    <xf numFmtId="0" fontId="6" fillId="0" borderId="4" xfId="0" applyFont="1" applyBorder="1" applyAlignment="1">
      <alignment horizontal="center" vertical="center" wrapText="1"/>
    </xf>
    <xf numFmtId="0" fontId="2" fillId="0" borderId="8" xfId="0" applyFont="1" applyBorder="1"/>
    <xf numFmtId="0" fontId="2" fillId="0" borderId="13" xfId="0" applyFont="1" applyBorder="1"/>
    <xf numFmtId="0" fontId="19" fillId="3" borderId="4" xfId="0" applyFont="1" applyFill="1" applyBorder="1" applyAlignment="1">
      <alignment horizontal="center" vertical="center"/>
    </xf>
    <xf numFmtId="0" fontId="20" fillId="0" borderId="1" xfId="1" applyFill="1" applyBorder="1" applyAlignment="1">
      <alignment vertical="center" wrapText="1"/>
    </xf>
    <xf numFmtId="0" fontId="20" fillId="0" borderId="2" xfId="1" applyFill="1" applyBorder="1"/>
    <xf numFmtId="0" fontId="20" fillId="0" borderId="3" xfId="1" applyFill="1" applyBorder="1"/>
    <xf numFmtId="0" fontId="22" fillId="0" borderId="1" xfId="0" applyFont="1" applyBorder="1" applyAlignment="1">
      <alignment vertical="center" wrapText="1"/>
    </xf>
    <xf numFmtId="0" fontId="2" fillId="0" borderId="2" xfId="0" applyFont="1" applyBorder="1"/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0" borderId="6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egi.org.mx/programas/edr/" TargetMode="External"/><Relationship Id="rId3" Type="http://schemas.openxmlformats.org/officeDocument/2006/relationships/hyperlink" Target="https://view.officeapps.live.com/op/view.aspx?src=https%3A%2F%2Fwww.inegi.org.mx%2Fcontenidos%2Ftemas%2Fareasgeograficas%2Finfxentidad%2FPue%2F2021%2F05%2F5.6.xls&amp;wdOrigin=BROWSELINK" TargetMode="External"/><Relationship Id="rId7" Type="http://schemas.openxmlformats.org/officeDocument/2006/relationships/hyperlink" Target="https://www.inegi.org.mx/programas/natalidad/" TargetMode="External"/><Relationship Id="rId12" Type="http://schemas.openxmlformats.org/officeDocument/2006/relationships/hyperlink" Target="https://www.coneval.org.mx/Medicion/Paginas/Pobreza-municipio-2010-2020.aspx" TargetMode="External"/><Relationship Id="rId2" Type="http://schemas.openxmlformats.org/officeDocument/2006/relationships/hyperlink" Target="https://www.inegi.org.mx/sistemas/olap/Proyectos/bd/continuas/natalidad/nacimientos.asp" TargetMode="External"/><Relationship Id="rId1" Type="http://schemas.openxmlformats.org/officeDocument/2006/relationships/hyperlink" Target="https://www.inegi.org.mx/sistemas/olap/Proyectos/bd/continuas/mortalidad/MortalidadGeneral.asp?" TargetMode="External"/><Relationship Id="rId6" Type="http://schemas.openxmlformats.org/officeDocument/2006/relationships/hyperlink" Target="https://planeader.puebla.gob.mx/pagina/IndicadoresPobreza.html" TargetMode="External"/><Relationship Id="rId11" Type="http://schemas.openxmlformats.org/officeDocument/2006/relationships/hyperlink" Target="https://www.inegi.org.mx/app/cuadroentidad/Pue/2023/05/5_7" TargetMode="External"/><Relationship Id="rId5" Type="http://schemas.openxmlformats.org/officeDocument/2006/relationships/hyperlink" Target="https://view.officeapps.live.com/op/view.aspx?src=https%3A%2F%2Fwww.inegi.org.mx%2Fcontenidos%2Ftemas%2Fareasgeograficas%2Finfxentidad%2FPue%2F2021%2F05%2F5.5.xls&amp;wdOrigin=BROWSELINK" TargetMode="External"/><Relationship Id="rId10" Type="http://schemas.openxmlformats.org/officeDocument/2006/relationships/hyperlink" Target="https://www.inegi.org.mx/app/cuadroentidad/Pue/2023/05/5_5" TargetMode="External"/><Relationship Id="rId4" Type="http://schemas.openxmlformats.org/officeDocument/2006/relationships/hyperlink" Target="https://view.officeapps.live.com/op/view.aspx?src=https%3A%2F%2Fwww.inegi.org.mx%2Fcontenidos%2Ftemas%2Fareasgeograficas%2Finfxentidad%2FPue%2F2021%2F05%2F5.7.xls&amp;wdOrigin=BROWSELINK" TargetMode="External"/><Relationship Id="rId9" Type="http://schemas.openxmlformats.org/officeDocument/2006/relationships/hyperlink" Target="https://www.inegi.org.mx/app/cuadroentidad/Pue/2023/05/5_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49AF9-8B8E-48C2-B3FA-5B9DA3F562E6}">
  <sheetPr>
    <tabColor theme="7"/>
    <outlinePr summaryBelow="0" summaryRight="0"/>
  </sheetPr>
  <dimension ref="A1:AS1011"/>
  <sheetViews>
    <sheetView tabSelected="1" zoomScale="106" zoomScaleNormal="106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6" sqref="A6:A11"/>
    </sheetView>
  </sheetViews>
  <sheetFormatPr baseColWidth="10" defaultColWidth="12.7109375" defaultRowHeight="15" customHeight="1"/>
  <cols>
    <col min="1" max="1" width="14.7109375" customWidth="1"/>
    <col min="2" max="2" width="5.7109375" customWidth="1"/>
    <col min="3" max="3" width="19.7109375" customWidth="1"/>
    <col min="4" max="4" width="11.85546875" customWidth="1"/>
    <col min="5" max="6" width="12" customWidth="1"/>
    <col min="7" max="12" width="9.28515625" customWidth="1"/>
    <col min="13" max="13" width="10.7109375" customWidth="1"/>
    <col min="14" max="17" width="9.28515625" customWidth="1"/>
    <col min="18" max="20" width="16.85546875" customWidth="1"/>
    <col min="21" max="24" width="12.28515625" customWidth="1"/>
    <col min="25" max="25" width="12.7109375" customWidth="1"/>
    <col min="26" max="30" width="17.85546875" customWidth="1"/>
  </cols>
  <sheetData>
    <row r="1" spans="1:45" ht="27" customHeight="1">
      <c r="A1" s="102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"/>
      <c r="AB1" s="1"/>
      <c r="AC1" s="1"/>
      <c r="AD1" s="1"/>
      <c r="AE1" s="104"/>
      <c r="AF1" s="103"/>
      <c r="AG1" s="103"/>
      <c r="AH1" s="103"/>
      <c r="AI1" s="103"/>
      <c r="AJ1" s="103"/>
      <c r="AK1" s="103"/>
      <c r="AL1" s="1"/>
      <c r="AM1" s="1"/>
      <c r="AN1" s="1"/>
      <c r="AO1" s="1"/>
      <c r="AP1" s="1"/>
      <c r="AQ1" s="1"/>
      <c r="AR1" s="1"/>
      <c r="AS1" s="1"/>
    </row>
    <row r="2" spans="1:45" ht="15.75" customHeight="1">
      <c r="A2" s="2"/>
      <c r="B2" s="2"/>
      <c r="C2" s="2"/>
      <c r="D2" s="105" t="s">
        <v>1</v>
      </c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74"/>
    </row>
    <row r="3" spans="1:45" ht="18" customHeight="1">
      <c r="A3" s="100" t="s">
        <v>2</v>
      </c>
      <c r="B3" s="100" t="s">
        <v>3</v>
      </c>
      <c r="C3" s="100" t="s">
        <v>4</v>
      </c>
      <c r="D3" s="93" t="s">
        <v>5</v>
      </c>
      <c r="E3" s="106"/>
      <c r="F3" s="77"/>
      <c r="G3" s="93" t="s">
        <v>6</v>
      </c>
      <c r="H3" s="106"/>
      <c r="I3" s="77"/>
      <c r="J3" s="93" t="s">
        <v>7</v>
      </c>
      <c r="K3" s="106"/>
      <c r="L3" s="106"/>
      <c r="M3" s="77"/>
      <c r="N3" s="100" t="s">
        <v>8</v>
      </c>
      <c r="O3" s="93" t="s">
        <v>9</v>
      </c>
      <c r="P3" s="94"/>
      <c r="Q3" s="95"/>
      <c r="R3" s="99" t="s">
        <v>10</v>
      </c>
      <c r="S3" s="92"/>
      <c r="T3" s="92"/>
      <c r="U3" s="92"/>
      <c r="V3" s="92"/>
      <c r="W3" s="74"/>
      <c r="X3" s="100" t="s">
        <v>11</v>
      </c>
      <c r="Y3" s="100" t="s">
        <v>12</v>
      </c>
      <c r="Z3" s="100" t="s">
        <v>13</v>
      </c>
    </row>
    <row r="4" spans="1:45" ht="27.75" customHeight="1">
      <c r="A4" s="85"/>
      <c r="B4" s="85"/>
      <c r="C4" s="85"/>
      <c r="D4" s="82"/>
      <c r="E4" s="101"/>
      <c r="F4" s="83"/>
      <c r="G4" s="82"/>
      <c r="H4" s="101"/>
      <c r="I4" s="83"/>
      <c r="J4" s="82"/>
      <c r="K4" s="101"/>
      <c r="L4" s="101"/>
      <c r="M4" s="83"/>
      <c r="N4" s="85"/>
      <c r="O4" s="96"/>
      <c r="P4" s="97"/>
      <c r="Q4" s="98"/>
      <c r="R4" s="96" t="s">
        <v>14</v>
      </c>
      <c r="S4" s="101"/>
      <c r="T4" s="101"/>
      <c r="U4" s="3" t="s">
        <v>15</v>
      </c>
      <c r="V4" s="4" t="s">
        <v>16</v>
      </c>
      <c r="W4" s="5" t="s">
        <v>17</v>
      </c>
      <c r="X4" s="85"/>
      <c r="Y4" s="85"/>
      <c r="Z4" s="85"/>
    </row>
    <row r="5" spans="1:45" ht="33.75" customHeight="1">
      <c r="A5" s="86"/>
      <c r="B5" s="86"/>
      <c r="C5" s="86"/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20</v>
      </c>
      <c r="J5" s="6" t="s">
        <v>18</v>
      </c>
      <c r="K5" s="6" t="s">
        <v>22</v>
      </c>
      <c r="L5" s="7" t="s">
        <v>23</v>
      </c>
      <c r="M5" s="7" t="s">
        <v>24</v>
      </c>
      <c r="N5" s="85"/>
      <c r="O5" s="8" t="s">
        <v>21</v>
      </c>
      <c r="P5" s="9" t="s">
        <v>19</v>
      </c>
      <c r="Q5" s="8" t="s">
        <v>23</v>
      </c>
      <c r="R5" s="5" t="s">
        <v>25</v>
      </c>
      <c r="S5" s="5" t="s">
        <v>26</v>
      </c>
      <c r="T5" s="5" t="s">
        <v>27</v>
      </c>
      <c r="U5" s="5" t="s">
        <v>28</v>
      </c>
      <c r="V5" s="5" t="s">
        <v>29</v>
      </c>
      <c r="W5" s="5" t="s">
        <v>30</v>
      </c>
      <c r="X5" s="86"/>
      <c r="Y5" s="86"/>
      <c r="Z5" s="86"/>
    </row>
    <row r="6" spans="1:45" ht="24.95" customHeight="1">
      <c r="A6" s="84" t="s">
        <v>31</v>
      </c>
      <c r="B6" s="10">
        <v>1</v>
      </c>
      <c r="C6" s="11" t="s">
        <v>32</v>
      </c>
      <c r="D6" s="12">
        <v>138</v>
      </c>
      <c r="E6" s="12">
        <v>67</v>
      </c>
      <c r="F6" s="12">
        <v>71</v>
      </c>
      <c r="G6" s="13">
        <f t="shared" ref="G6:G81" si="0">D6/N6</f>
        <v>1.4822771213748658E-2</v>
      </c>
      <c r="H6" s="14">
        <f t="shared" ref="H6:H81" si="1">E6/D6</f>
        <v>0.48550724637681159</v>
      </c>
      <c r="I6" s="14">
        <f t="shared" ref="I6:I81" si="2">F6/D6</f>
        <v>0.51449275362318836</v>
      </c>
      <c r="J6" s="15">
        <v>76</v>
      </c>
      <c r="K6" s="15">
        <v>39</v>
      </c>
      <c r="L6" s="15">
        <v>37</v>
      </c>
      <c r="M6" s="16" t="s">
        <v>33</v>
      </c>
      <c r="N6" s="17">
        <v>9310</v>
      </c>
      <c r="O6" s="18">
        <f t="shared" ref="O6:O81" si="3">J6/N6</f>
        <v>8.1632653061224497E-3</v>
      </c>
      <c r="P6" s="19">
        <f t="shared" ref="P6:P81" si="4">K6/J6</f>
        <v>0.51315789473684215</v>
      </c>
      <c r="Q6" s="20">
        <f t="shared" ref="Q6:Q81" si="5">L6/J6</f>
        <v>0.48684210526315791</v>
      </c>
      <c r="R6" s="21">
        <v>6</v>
      </c>
      <c r="S6" s="22">
        <v>0</v>
      </c>
      <c r="T6" s="21">
        <v>0</v>
      </c>
      <c r="U6" s="21">
        <v>0</v>
      </c>
      <c r="V6" s="21">
        <v>6</v>
      </c>
      <c r="W6" s="21">
        <v>0</v>
      </c>
      <c r="X6" s="21">
        <v>12</v>
      </c>
      <c r="Y6" s="21">
        <v>3</v>
      </c>
      <c r="Z6" s="23" t="s">
        <v>34</v>
      </c>
    </row>
    <row r="7" spans="1:45" ht="24.95" customHeight="1">
      <c r="A7" s="85"/>
      <c r="B7" s="10">
        <v>2</v>
      </c>
      <c r="C7" s="11" t="s">
        <v>35</v>
      </c>
      <c r="D7" s="24">
        <v>192</v>
      </c>
      <c r="E7" s="24">
        <v>104</v>
      </c>
      <c r="F7" s="24">
        <v>88</v>
      </c>
      <c r="G7" s="14">
        <f t="shared" si="0"/>
        <v>1.6044121333667585E-2</v>
      </c>
      <c r="H7" s="14">
        <f t="shared" si="1"/>
        <v>0.54166666666666663</v>
      </c>
      <c r="I7" s="14">
        <f t="shared" si="2"/>
        <v>0.45833333333333331</v>
      </c>
      <c r="J7" s="15">
        <v>76</v>
      </c>
      <c r="K7" s="15">
        <v>38</v>
      </c>
      <c r="L7" s="15">
        <v>38</v>
      </c>
      <c r="M7" s="16" t="s">
        <v>33</v>
      </c>
      <c r="N7" s="25">
        <v>11967</v>
      </c>
      <c r="O7" s="18">
        <f t="shared" si="3"/>
        <v>6.3507980279100861E-3</v>
      </c>
      <c r="P7" s="19">
        <f t="shared" si="4"/>
        <v>0.5</v>
      </c>
      <c r="Q7" s="20">
        <f t="shared" si="5"/>
        <v>0.5</v>
      </c>
      <c r="R7" s="22">
        <v>7</v>
      </c>
      <c r="S7" s="22">
        <v>0</v>
      </c>
      <c r="T7" s="22">
        <v>0</v>
      </c>
      <c r="U7" s="21">
        <v>0</v>
      </c>
      <c r="V7" s="22">
        <v>7</v>
      </c>
      <c r="W7" s="22">
        <v>0</v>
      </c>
      <c r="X7" s="21">
        <v>8</v>
      </c>
      <c r="Y7" s="21">
        <v>11</v>
      </c>
      <c r="Z7" s="23" t="s">
        <v>36</v>
      </c>
    </row>
    <row r="8" spans="1:45" ht="24.95" customHeight="1">
      <c r="A8" s="85"/>
      <c r="B8" s="10">
        <v>3</v>
      </c>
      <c r="C8" s="11" t="s">
        <v>37</v>
      </c>
      <c r="D8" s="24">
        <v>205</v>
      </c>
      <c r="E8" s="24">
        <v>107</v>
      </c>
      <c r="F8" s="24">
        <v>98</v>
      </c>
      <c r="G8" s="14">
        <f t="shared" si="0"/>
        <v>1.106433506044905E-2</v>
      </c>
      <c r="H8" s="14">
        <f t="shared" si="1"/>
        <v>0.52195121951219514</v>
      </c>
      <c r="I8" s="14">
        <f t="shared" si="2"/>
        <v>0.47804878048780486</v>
      </c>
      <c r="J8" s="15">
        <v>153</v>
      </c>
      <c r="K8" s="15">
        <v>78</v>
      </c>
      <c r="L8" s="15">
        <v>75</v>
      </c>
      <c r="M8" s="16" t="s">
        <v>33</v>
      </c>
      <c r="N8" s="25">
        <v>18528</v>
      </c>
      <c r="O8" s="18">
        <f t="shared" si="3"/>
        <v>8.2577720207253884E-3</v>
      </c>
      <c r="P8" s="19">
        <f t="shared" si="4"/>
        <v>0.50980392156862742</v>
      </c>
      <c r="Q8" s="20">
        <f t="shared" si="5"/>
        <v>0.49019607843137253</v>
      </c>
      <c r="R8" s="22">
        <v>8</v>
      </c>
      <c r="S8" s="22">
        <v>1</v>
      </c>
      <c r="T8" s="22">
        <v>0</v>
      </c>
      <c r="U8" s="21">
        <v>1</v>
      </c>
      <c r="V8" s="22">
        <v>7</v>
      </c>
      <c r="W8" s="22">
        <v>1</v>
      </c>
      <c r="X8" s="21">
        <v>16</v>
      </c>
      <c r="Y8" s="21">
        <v>22</v>
      </c>
      <c r="Z8" s="23" t="s">
        <v>38</v>
      </c>
    </row>
    <row r="9" spans="1:45" ht="24.95" customHeight="1">
      <c r="A9" s="85"/>
      <c r="B9" s="10">
        <v>4</v>
      </c>
      <c r="C9" s="26" t="s">
        <v>39</v>
      </c>
      <c r="D9" s="27">
        <v>165</v>
      </c>
      <c r="E9" s="27">
        <v>72</v>
      </c>
      <c r="F9" s="27">
        <v>93</v>
      </c>
      <c r="G9" s="14">
        <f t="shared" si="0"/>
        <v>1.032734555924141E-2</v>
      </c>
      <c r="H9" s="14">
        <f t="shared" si="1"/>
        <v>0.43636363636363634</v>
      </c>
      <c r="I9" s="14">
        <f t="shared" si="2"/>
        <v>0.5636363636363636</v>
      </c>
      <c r="J9" s="28">
        <v>145</v>
      </c>
      <c r="K9" s="28">
        <v>84</v>
      </c>
      <c r="L9" s="28">
        <v>60</v>
      </c>
      <c r="M9" s="16">
        <v>1</v>
      </c>
      <c r="N9" s="29">
        <v>15977</v>
      </c>
      <c r="O9" s="18">
        <f t="shared" si="3"/>
        <v>9.0755460975151785E-3</v>
      </c>
      <c r="P9" s="19">
        <f t="shared" si="4"/>
        <v>0.57931034482758625</v>
      </c>
      <c r="Q9" s="20">
        <f t="shared" si="5"/>
        <v>0.41379310344827586</v>
      </c>
      <c r="R9" s="21">
        <v>7</v>
      </c>
      <c r="S9" s="21">
        <v>0</v>
      </c>
      <c r="T9" s="21">
        <v>0</v>
      </c>
      <c r="U9" s="21">
        <v>0</v>
      </c>
      <c r="V9" s="21">
        <v>7</v>
      </c>
      <c r="W9" s="22">
        <v>0</v>
      </c>
      <c r="X9" s="21">
        <v>6</v>
      </c>
      <c r="Y9" s="21">
        <v>14</v>
      </c>
      <c r="Z9" s="23" t="s">
        <v>40</v>
      </c>
    </row>
    <row r="10" spans="1:45" ht="24.95" customHeight="1">
      <c r="A10" s="85"/>
      <c r="B10" s="10">
        <v>5</v>
      </c>
      <c r="C10" s="11" t="s">
        <v>41</v>
      </c>
      <c r="D10" s="24">
        <v>226</v>
      </c>
      <c r="E10" s="24">
        <v>117</v>
      </c>
      <c r="F10" s="24">
        <v>109</v>
      </c>
      <c r="G10" s="14">
        <f t="shared" si="0"/>
        <v>1.1147282233402387E-2</v>
      </c>
      <c r="H10" s="14">
        <f t="shared" si="1"/>
        <v>0.51769911504424782</v>
      </c>
      <c r="I10" s="14">
        <f t="shared" si="2"/>
        <v>0.48230088495575218</v>
      </c>
      <c r="J10" s="15">
        <v>167</v>
      </c>
      <c r="K10" s="15">
        <v>86</v>
      </c>
      <c r="L10" s="15">
        <v>81</v>
      </c>
      <c r="M10" s="16" t="s">
        <v>33</v>
      </c>
      <c r="N10" s="25">
        <v>20274</v>
      </c>
      <c r="O10" s="18">
        <f t="shared" si="3"/>
        <v>8.2371510308769848E-3</v>
      </c>
      <c r="P10" s="19">
        <f t="shared" si="4"/>
        <v>0.51497005988023947</v>
      </c>
      <c r="Q10" s="20">
        <f t="shared" si="5"/>
        <v>0.48502994011976047</v>
      </c>
      <c r="R10" s="21">
        <v>8</v>
      </c>
      <c r="S10" s="21">
        <v>1</v>
      </c>
      <c r="T10" s="21">
        <v>0</v>
      </c>
      <c r="U10" s="21">
        <v>2</v>
      </c>
      <c r="V10" s="21">
        <v>6</v>
      </c>
      <c r="W10" s="21">
        <v>1</v>
      </c>
      <c r="X10" s="21">
        <v>27</v>
      </c>
      <c r="Y10" s="21">
        <v>11</v>
      </c>
      <c r="Z10" s="23" t="s">
        <v>42</v>
      </c>
      <c r="AA10" s="30"/>
      <c r="AB10" s="30"/>
      <c r="AC10" s="30"/>
      <c r="AD10" s="30"/>
      <c r="AE10" s="30"/>
      <c r="AF10" s="30"/>
      <c r="AG10" s="30"/>
      <c r="AH10" s="30"/>
    </row>
    <row r="11" spans="1:45" ht="24.95" customHeight="1">
      <c r="A11" s="86"/>
      <c r="B11" s="10">
        <v>6</v>
      </c>
      <c r="C11" s="11" t="s">
        <v>43</v>
      </c>
      <c r="D11" s="24">
        <v>749</v>
      </c>
      <c r="E11" s="24">
        <v>377</v>
      </c>
      <c r="F11" s="24">
        <v>372</v>
      </c>
      <c r="G11" s="14">
        <f t="shared" si="0"/>
        <v>9.2938417441153481E-3</v>
      </c>
      <c r="H11" s="14">
        <f t="shared" si="1"/>
        <v>0.50333778371161553</v>
      </c>
      <c r="I11" s="14">
        <f t="shared" si="2"/>
        <v>0.49666221628838453</v>
      </c>
      <c r="J11" s="15">
        <v>603</v>
      </c>
      <c r="K11" s="15">
        <v>327</v>
      </c>
      <c r="L11" s="15">
        <v>276</v>
      </c>
      <c r="M11" s="16" t="s">
        <v>33</v>
      </c>
      <c r="N11" s="25">
        <v>80591</v>
      </c>
      <c r="O11" s="18">
        <f t="shared" si="3"/>
        <v>7.4822250623518757E-3</v>
      </c>
      <c r="P11" s="19">
        <f t="shared" si="4"/>
        <v>0.54228855721393032</v>
      </c>
      <c r="Q11" s="20">
        <f t="shared" si="5"/>
        <v>0.45771144278606968</v>
      </c>
      <c r="R11" s="21">
        <v>14</v>
      </c>
      <c r="S11" s="21">
        <v>2</v>
      </c>
      <c r="T11" s="21">
        <v>0</v>
      </c>
      <c r="U11" s="21">
        <v>4</v>
      </c>
      <c r="V11" s="21">
        <v>11</v>
      </c>
      <c r="W11" s="21">
        <v>1</v>
      </c>
      <c r="X11" s="21">
        <v>142</v>
      </c>
      <c r="Y11" s="21">
        <v>23</v>
      </c>
      <c r="Z11" s="23" t="s">
        <v>44</v>
      </c>
      <c r="AA11" s="31"/>
      <c r="AB11" s="31"/>
      <c r="AC11" s="31"/>
      <c r="AD11" s="31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</row>
    <row r="12" spans="1:45" ht="24.95" customHeight="1">
      <c r="A12" s="84" t="s">
        <v>45</v>
      </c>
      <c r="B12" s="10">
        <v>7</v>
      </c>
      <c r="C12" s="11" t="s">
        <v>46</v>
      </c>
      <c r="D12" s="24">
        <v>86</v>
      </c>
      <c r="E12" s="24">
        <v>46</v>
      </c>
      <c r="F12" s="24">
        <v>40</v>
      </c>
      <c r="G12" s="14">
        <f t="shared" si="0"/>
        <v>1.3391466832762379E-2</v>
      </c>
      <c r="H12" s="14">
        <f t="shared" si="1"/>
        <v>0.53488372093023251</v>
      </c>
      <c r="I12" s="14">
        <f t="shared" si="2"/>
        <v>0.46511627906976744</v>
      </c>
      <c r="J12" s="15">
        <v>42</v>
      </c>
      <c r="K12" s="15">
        <v>19</v>
      </c>
      <c r="L12" s="15">
        <v>22</v>
      </c>
      <c r="M12" s="16">
        <v>1</v>
      </c>
      <c r="N12" s="25">
        <v>6422</v>
      </c>
      <c r="O12" s="18">
        <f t="shared" si="3"/>
        <v>6.5400186857676734E-3</v>
      </c>
      <c r="P12" s="19">
        <f t="shared" si="4"/>
        <v>0.45238095238095238</v>
      </c>
      <c r="Q12" s="20">
        <f t="shared" si="5"/>
        <v>0.52380952380952384</v>
      </c>
      <c r="R12" s="21">
        <v>3</v>
      </c>
      <c r="S12" s="21">
        <v>0</v>
      </c>
      <c r="T12" s="21">
        <v>0</v>
      </c>
      <c r="U12" s="21">
        <v>0</v>
      </c>
      <c r="V12" s="21">
        <v>3</v>
      </c>
      <c r="W12" s="21">
        <v>0</v>
      </c>
      <c r="X12" s="21">
        <v>3</v>
      </c>
      <c r="Y12" s="21">
        <v>6</v>
      </c>
      <c r="Z12" s="23" t="s">
        <v>47</v>
      </c>
      <c r="AA12" s="31"/>
      <c r="AB12" s="31"/>
      <c r="AC12" s="31"/>
      <c r="AD12" s="31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</row>
    <row r="13" spans="1:45" ht="24.95" customHeight="1">
      <c r="A13" s="85"/>
      <c r="B13" s="10">
        <v>8</v>
      </c>
      <c r="C13" s="11" t="s">
        <v>48</v>
      </c>
      <c r="D13" s="24">
        <v>272</v>
      </c>
      <c r="E13" s="24">
        <v>140</v>
      </c>
      <c r="F13" s="24">
        <v>132</v>
      </c>
      <c r="G13" s="14">
        <f t="shared" si="0"/>
        <v>1.564837187895524E-2</v>
      </c>
      <c r="H13" s="14">
        <f t="shared" si="1"/>
        <v>0.51470588235294112</v>
      </c>
      <c r="I13" s="14">
        <f t="shared" si="2"/>
        <v>0.48529411764705882</v>
      </c>
      <c r="J13" s="15">
        <v>115</v>
      </c>
      <c r="K13" s="15">
        <v>63</v>
      </c>
      <c r="L13" s="15">
        <v>52</v>
      </c>
      <c r="M13" s="16" t="s">
        <v>33</v>
      </c>
      <c r="N13" s="25">
        <v>17382</v>
      </c>
      <c r="O13" s="18">
        <f t="shared" si="3"/>
        <v>6.6160395811759292E-3</v>
      </c>
      <c r="P13" s="19">
        <f t="shared" si="4"/>
        <v>0.54782608695652169</v>
      </c>
      <c r="Q13" s="20">
        <f t="shared" si="5"/>
        <v>0.45217391304347826</v>
      </c>
      <c r="R13" s="21">
        <v>7</v>
      </c>
      <c r="S13" s="21">
        <v>0</v>
      </c>
      <c r="T13" s="21">
        <v>0</v>
      </c>
      <c r="U13" s="21">
        <v>0</v>
      </c>
      <c r="V13" s="21">
        <v>7</v>
      </c>
      <c r="W13" s="21">
        <v>0</v>
      </c>
      <c r="X13" s="21">
        <v>9</v>
      </c>
      <c r="Y13" s="21">
        <v>12</v>
      </c>
      <c r="Z13" s="23" t="s">
        <v>49</v>
      </c>
      <c r="AA13" s="31"/>
      <c r="AB13" s="31"/>
      <c r="AC13" s="31"/>
      <c r="AD13" s="31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</row>
    <row r="14" spans="1:45" ht="24.95" customHeight="1">
      <c r="A14" s="85"/>
      <c r="B14" s="10">
        <v>9</v>
      </c>
      <c r="C14" s="11" t="s">
        <v>50</v>
      </c>
      <c r="D14" s="24">
        <v>344</v>
      </c>
      <c r="E14" s="24">
        <v>180</v>
      </c>
      <c r="F14" s="24">
        <v>164</v>
      </c>
      <c r="G14" s="14">
        <f t="shared" si="0"/>
        <v>1.6835511182890422E-2</v>
      </c>
      <c r="H14" s="14">
        <f t="shared" si="1"/>
        <v>0.52325581395348841</v>
      </c>
      <c r="I14" s="14">
        <f t="shared" si="2"/>
        <v>0.47674418604651164</v>
      </c>
      <c r="J14" s="15">
        <v>153</v>
      </c>
      <c r="K14" s="15">
        <v>78</v>
      </c>
      <c r="L14" s="15">
        <v>75</v>
      </c>
      <c r="M14" s="16" t="s">
        <v>33</v>
      </c>
      <c r="N14" s="25">
        <v>20433</v>
      </c>
      <c r="O14" s="18">
        <f t="shared" si="3"/>
        <v>7.4878872412274264E-3</v>
      </c>
      <c r="P14" s="19">
        <f t="shared" si="4"/>
        <v>0.50980392156862742</v>
      </c>
      <c r="Q14" s="20">
        <f t="shared" si="5"/>
        <v>0.49019607843137253</v>
      </c>
      <c r="R14" s="32">
        <v>10</v>
      </c>
      <c r="S14" s="33">
        <v>1</v>
      </c>
      <c r="T14" s="21">
        <v>0</v>
      </c>
      <c r="U14" s="21">
        <v>0</v>
      </c>
      <c r="V14" s="34">
        <v>11</v>
      </c>
      <c r="W14" s="21">
        <v>0</v>
      </c>
      <c r="X14" s="34">
        <v>23</v>
      </c>
      <c r="Y14" s="21">
        <v>6</v>
      </c>
      <c r="Z14" s="23" t="s">
        <v>51</v>
      </c>
      <c r="AA14" s="31"/>
      <c r="AB14" s="31"/>
      <c r="AC14" s="31"/>
      <c r="AD14" s="35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</row>
    <row r="15" spans="1:45" ht="24.95" customHeight="1">
      <c r="A15" s="85"/>
      <c r="B15" s="10">
        <v>10</v>
      </c>
      <c r="C15" s="11" t="s">
        <v>52</v>
      </c>
      <c r="D15" s="24">
        <v>148</v>
      </c>
      <c r="E15" s="24">
        <v>75</v>
      </c>
      <c r="F15" s="24">
        <v>73</v>
      </c>
      <c r="G15" s="14">
        <f t="shared" si="0"/>
        <v>1.2200148380183002E-2</v>
      </c>
      <c r="H15" s="14">
        <f t="shared" si="1"/>
        <v>0.5067567567567568</v>
      </c>
      <c r="I15" s="14">
        <f t="shared" si="2"/>
        <v>0.49324324324324326</v>
      </c>
      <c r="J15" s="15">
        <v>100</v>
      </c>
      <c r="K15" s="15">
        <v>48</v>
      </c>
      <c r="L15" s="15">
        <v>52</v>
      </c>
      <c r="M15" s="16" t="s">
        <v>33</v>
      </c>
      <c r="N15" s="25">
        <v>12131</v>
      </c>
      <c r="O15" s="18">
        <f t="shared" si="3"/>
        <v>8.2433435001236493E-3</v>
      </c>
      <c r="P15" s="19">
        <f t="shared" si="4"/>
        <v>0.48</v>
      </c>
      <c r="Q15" s="20">
        <f t="shared" si="5"/>
        <v>0.52</v>
      </c>
      <c r="R15" s="21">
        <v>4</v>
      </c>
      <c r="S15" s="21">
        <v>0</v>
      </c>
      <c r="T15" s="21">
        <v>0</v>
      </c>
      <c r="U15" s="21">
        <v>0</v>
      </c>
      <c r="V15" s="21">
        <v>4</v>
      </c>
      <c r="W15" s="21">
        <v>0</v>
      </c>
      <c r="X15" s="21">
        <v>9</v>
      </c>
      <c r="Y15" s="21">
        <v>5</v>
      </c>
      <c r="Z15" s="23" t="s">
        <v>53</v>
      </c>
      <c r="AA15" s="31"/>
      <c r="AB15" s="31"/>
      <c r="AC15" s="31"/>
      <c r="AD15" s="36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</row>
    <row r="16" spans="1:45" ht="24.95" customHeight="1">
      <c r="A16" s="86"/>
      <c r="B16" s="10">
        <v>11</v>
      </c>
      <c r="C16" s="11" t="s">
        <v>54</v>
      </c>
      <c r="D16" s="37">
        <v>940</v>
      </c>
      <c r="E16" s="37">
        <v>461</v>
      </c>
      <c r="F16" s="37">
        <v>479</v>
      </c>
      <c r="G16" s="14">
        <f t="shared" si="0"/>
        <v>9.0431570238393016E-3</v>
      </c>
      <c r="H16" s="14">
        <f t="shared" si="1"/>
        <v>0.49042553191489363</v>
      </c>
      <c r="I16" s="14">
        <f t="shared" si="2"/>
        <v>0.50957446808510642</v>
      </c>
      <c r="J16" s="15">
        <v>688</v>
      </c>
      <c r="K16" s="15">
        <v>345</v>
      </c>
      <c r="L16" s="15">
        <v>343</v>
      </c>
      <c r="M16" s="16" t="s">
        <v>33</v>
      </c>
      <c r="N16" s="25">
        <v>103946</v>
      </c>
      <c r="O16" s="18">
        <f t="shared" si="3"/>
        <v>6.6188213110653605E-3</v>
      </c>
      <c r="P16" s="19">
        <f t="shared" si="4"/>
        <v>0.50145348837209303</v>
      </c>
      <c r="Q16" s="20">
        <f t="shared" si="5"/>
        <v>0.49854651162790697</v>
      </c>
      <c r="R16" s="21">
        <v>20</v>
      </c>
      <c r="S16" s="21">
        <v>3</v>
      </c>
      <c r="T16" s="21">
        <v>0</v>
      </c>
      <c r="U16" s="21">
        <v>5</v>
      </c>
      <c r="V16" s="21">
        <v>17</v>
      </c>
      <c r="W16" s="21">
        <v>1</v>
      </c>
      <c r="X16" s="21">
        <v>183</v>
      </c>
      <c r="Y16" s="21">
        <v>33</v>
      </c>
      <c r="Z16" s="23" t="s">
        <v>55</v>
      </c>
      <c r="AA16" s="31"/>
      <c r="AB16" s="31"/>
      <c r="AC16" s="31"/>
      <c r="AD16" s="31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</row>
    <row r="17" spans="1:45" ht="24.95" customHeight="1">
      <c r="A17" s="84" t="s">
        <v>56</v>
      </c>
      <c r="B17" s="10">
        <v>12</v>
      </c>
      <c r="C17" s="11" t="s">
        <v>57</v>
      </c>
      <c r="D17" s="37">
        <v>47</v>
      </c>
      <c r="E17" s="37">
        <v>17</v>
      </c>
      <c r="F17" s="37">
        <v>30</v>
      </c>
      <c r="G17" s="14">
        <f t="shared" si="0"/>
        <v>1.1311672683513839E-2</v>
      </c>
      <c r="H17" s="14">
        <f t="shared" si="1"/>
        <v>0.36170212765957449</v>
      </c>
      <c r="I17" s="14">
        <f t="shared" si="2"/>
        <v>0.63829787234042556</v>
      </c>
      <c r="J17" s="15">
        <v>45</v>
      </c>
      <c r="K17" s="15">
        <v>26</v>
      </c>
      <c r="L17" s="15">
        <v>19</v>
      </c>
      <c r="M17" s="16" t="s">
        <v>33</v>
      </c>
      <c r="N17" s="25">
        <v>4155</v>
      </c>
      <c r="O17" s="18">
        <f t="shared" si="3"/>
        <v>1.0830324909747292E-2</v>
      </c>
      <c r="P17" s="19">
        <f t="shared" si="4"/>
        <v>0.57777777777777772</v>
      </c>
      <c r="Q17" s="20">
        <f t="shared" si="5"/>
        <v>0.42222222222222222</v>
      </c>
      <c r="R17" s="21">
        <v>1</v>
      </c>
      <c r="S17" s="21">
        <v>0</v>
      </c>
      <c r="T17" s="21">
        <v>0</v>
      </c>
      <c r="U17" s="21">
        <v>0</v>
      </c>
      <c r="V17" s="21">
        <v>1</v>
      </c>
      <c r="W17" s="21">
        <v>0</v>
      </c>
      <c r="X17" s="21">
        <v>3</v>
      </c>
      <c r="Y17" s="21">
        <v>1</v>
      </c>
      <c r="Z17" s="23" t="s">
        <v>58</v>
      </c>
      <c r="AA17" s="31"/>
      <c r="AB17" s="31"/>
      <c r="AC17" s="31"/>
      <c r="AD17" s="31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</row>
    <row r="18" spans="1:45" ht="24.95" customHeight="1">
      <c r="A18" s="85"/>
      <c r="B18" s="10">
        <v>13</v>
      </c>
      <c r="C18" s="11" t="s">
        <v>59</v>
      </c>
      <c r="D18" s="37">
        <v>74</v>
      </c>
      <c r="E18" s="37">
        <v>37</v>
      </c>
      <c r="F18" s="37">
        <v>37</v>
      </c>
      <c r="G18" s="14">
        <f t="shared" si="0"/>
        <v>1.0554842390529168E-2</v>
      </c>
      <c r="H18" s="14">
        <f t="shared" si="1"/>
        <v>0.5</v>
      </c>
      <c r="I18" s="14">
        <f t="shared" si="2"/>
        <v>0.5</v>
      </c>
      <c r="J18" s="15">
        <v>59</v>
      </c>
      <c r="K18" s="15">
        <v>37</v>
      </c>
      <c r="L18" s="15">
        <v>22</v>
      </c>
      <c r="M18" s="16" t="s">
        <v>33</v>
      </c>
      <c r="N18" s="25">
        <v>7011</v>
      </c>
      <c r="O18" s="18">
        <f t="shared" si="3"/>
        <v>8.41534731136785E-3</v>
      </c>
      <c r="P18" s="19">
        <f t="shared" si="4"/>
        <v>0.6271186440677966</v>
      </c>
      <c r="Q18" s="20">
        <f t="shared" si="5"/>
        <v>0.3728813559322034</v>
      </c>
      <c r="R18" s="21">
        <v>6</v>
      </c>
      <c r="S18" s="21">
        <v>0</v>
      </c>
      <c r="T18" s="21">
        <v>0</v>
      </c>
      <c r="U18" s="21">
        <v>0</v>
      </c>
      <c r="V18" s="21">
        <v>6</v>
      </c>
      <c r="W18" s="21">
        <v>0</v>
      </c>
      <c r="X18" s="21">
        <v>5</v>
      </c>
      <c r="Y18" s="38">
        <v>3</v>
      </c>
      <c r="Z18" s="23" t="s">
        <v>60</v>
      </c>
      <c r="AA18" s="31"/>
      <c r="AB18" s="31"/>
      <c r="AC18" s="31"/>
      <c r="AD18" s="31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</row>
    <row r="19" spans="1:45" ht="24.95" customHeight="1">
      <c r="A19" s="85"/>
      <c r="B19" s="10">
        <v>14</v>
      </c>
      <c r="C19" s="11" t="s">
        <v>61</v>
      </c>
      <c r="D19" s="37">
        <v>49</v>
      </c>
      <c r="E19" s="37">
        <v>27</v>
      </c>
      <c r="F19" s="37">
        <v>22</v>
      </c>
      <c r="G19" s="14">
        <f t="shared" si="0"/>
        <v>1.7766497461928935E-2</v>
      </c>
      <c r="H19" s="14">
        <f t="shared" si="1"/>
        <v>0.55102040816326525</v>
      </c>
      <c r="I19" s="14">
        <f t="shared" si="2"/>
        <v>0.44897959183673469</v>
      </c>
      <c r="J19" s="15">
        <v>14</v>
      </c>
      <c r="K19" s="15">
        <v>8</v>
      </c>
      <c r="L19" s="15">
        <v>6</v>
      </c>
      <c r="M19" s="16" t="s">
        <v>33</v>
      </c>
      <c r="N19" s="21">
        <v>2758</v>
      </c>
      <c r="O19" s="18">
        <f t="shared" si="3"/>
        <v>5.076142131979695E-3</v>
      </c>
      <c r="P19" s="19">
        <f t="shared" si="4"/>
        <v>0.5714285714285714</v>
      </c>
      <c r="Q19" s="20">
        <f t="shared" si="5"/>
        <v>0.42857142857142855</v>
      </c>
      <c r="R19" s="21">
        <v>1</v>
      </c>
      <c r="S19" s="21">
        <v>0</v>
      </c>
      <c r="T19" s="21">
        <v>0</v>
      </c>
      <c r="U19" s="21">
        <v>0</v>
      </c>
      <c r="V19" s="21">
        <v>1</v>
      </c>
      <c r="W19" s="21">
        <v>0</v>
      </c>
      <c r="X19" s="21">
        <v>1</v>
      </c>
      <c r="Y19" s="21">
        <v>0</v>
      </c>
      <c r="Z19" s="23" t="s">
        <v>62</v>
      </c>
      <c r="AA19" s="31"/>
      <c r="AB19" s="31"/>
      <c r="AC19" s="31"/>
      <c r="AD19" s="31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</row>
    <row r="20" spans="1:45" ht="24.95" customHeight="1">
      <c r="A20" s="85"/>
      <c r="B20" s="10">
        <v>15</v>
      </c>
      <c r="C20" s="11" t="s">
        <v>63</v>
      </c>
      <c r="D20" s="37">
        <v>67</v>
      </c>
      <c r="E20" s="37">
        <v>32</v>
      </c>
      <c r="F20" s="37">
        <v>35</v>
      </c>
      <c r="G20" s="14">
        <f t="shared" si="0"/>
        <v>1.3923524522028262E-2</v>
      </c>
      <c r="H20" s="14">
        <f t="shared" si="1"/>
        <v>0.47761194029850745</v>
      </c>
      <c r="I20" s="14">
        <f t="shared" si="2"/>
        <v>0.52238805970149249</v>
      </c>
      <c r="J20" s="15">
        <v>39</v>
      </c>
      <c r="K20" s="15">
        <v>19</v>
      </c>
      <c r="L20" s="15">
        <v>20</v>
      </c>
      <c r="M20" s="16" t="s">
        <v>33</v>
      </c>
      <c r="N20" s="21">
        <v>4812</v>
      </c>
      <c r="O20" s="18">
        <f t="shared" si="3"/>
        <v>8.1047381546134663E-3</v>
      </c>
      <c r="P20" s="19">
        <f t="shared" si="4"/>
        <v>0.48717948717948717</v>
      </c>
      <c r="Q20" s="20">
        <f t="shared" si="5"/>
        <v>0.51282051282051277</v>
      </c>
      <c r="R20" s="21">
        <v>2</v>
      </c>
      <c r="S20" s="21">
        <v>0</v>
      </c>
      <c r="T20" s="21">
        <v>0</v>
      </c>
      <c r="U20" s="21">
        <v>0</v>
      </c>
      <c r="V20" s="21">
        <v>2</v>
      </c>
      <c r="W20" s="21">
        <v>0</v>
      </c>
      <c r="X20" s="21">
        <v>4</v>
      </c>
      <c r="Y20" s="21">
        <v>0</v>
      </c>
      <c r="Z20" s="23" t="s">
        <v>64</v>
      </c>
      <c r="AA20" s="31"/>
      <c r="AB20" s="31"/>
      <c r="AC20" s="31"/>
      <c r="AD20" s="31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</row>
    <row r="21" spans="1:45" ht="24.95" customHeight="1">
      <c r="A21" s="85"/>
      <c r="B21" s="10">
        <v>16</v>
      </c>
      <c r="C21" s="11" t="s">
        <v>65</v>
      </c>
      <c r="D21" s="37">
        <v>41</v>
      </c>
      <c r="E21" s="37">
        <v>24</v>
      </c>
      <c r="F21" s="37">
        <v>17</v>
      </c>
      <c r="G21" s="14">
        <f t="shared" si="0"/>
        <v>1.0809385710519377E-2</v>
      </c>
      <c r="H21" s="14">
        <f t="shared" si="1"/>
        <v>0.58536585365853655</v>
      </c>
      <c r="I21" s="14">
        <f t="shared" si="2"/>
        <v>0.41463414634146339</v>
      </c>
      <c r="J21" s="15">
        <v>34</v>
      </c>
      <c r="K21" s="15">
        <v>15</v>
      </c>
      <c r="L21" s="15">
        <v>19</v>
      </c>
      <c r="M21" s="16" t="s">
        <v>33</v>
      </c>
      <c r="N21" s="21">
        <v>3793</v>
      </c>
      <c r="O21" s="18">
        <f t="shared" si="3"/>
        <v>8.9638808331136306E-3</v>
      </c>
      <c r="P21" s="19">
        <f t="shared" si="4"/>
        <v>0.44117647058823528</v>
      </c>
      <c r="Q21" s="20">
        <f t="shared" si="5"/>
        <v>0.55882352941176472</v>
      </c>
      <c r="R21" s="21">
        <v>3</v>
      </c>
      <c r="S21" s="21">
        <v>0</v>
      </c>
      <c r="T21" s="21">
        <v>0</v>
      </c>
      <c r="U21" s="21">
        <v>0</v>
      </c>
      <c r="V21" s="21">
        <v>3</v>
      </c>
      <c r="W21" s="21">
        <v>0</v>
      </c>
      <c r="X21" s="21">
        <v>2</v>
      </c>
      <c r="Y21" s="21">
        <v>0</v>
      </c>
      <c r="Z21" s="23" t="s">
        <v>66</v>
      </c>
      <c r="AA21" s="31"/>
      <c r="AB21" s="31"/>
      <c r="AC21" s="31"/>
      <c r="AD21" s="31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</row>
    <row r="22" spans="1:45" ht="24.95" customHeight="1">
      <c r="A22" s="85"/>
      <c r="B22" s="10">
        <v>17</v>
      </c>
      <c r="C22" s="11" t="s">
        <v>67</v>
      </c>
      <c r="D22" s="37">
        <v>15</v>
      </c>
      <c r="E22" s="37">
        <v>8</v>
      </c>
      <c r="F22" s="37">
        <v>7</v>
      </c>
      <c r="G22" s="14">
        <f t="shared" si="0"/>
        <v>1.9430051813471502E-2</v>
      </c>
      <c r="H22" s="14">
        <f t="shared" si="1"/>
        <v>0.53333333333333333</v>
      </c>
      <c r="I22" s="14">
        <f t="shared" si="2"/>
        <v>0.46666666666666667</v>
      </c>
      <c r="J22" s="15">
        <v>15</v>
      </c>
      <c r="K22" s="15">
        <v>6</v>
      </c>
      <c r="L22" s="15">
        <v>9</v>
      </c>
      <c r="M22" s="16" t="s">
        <v>33</v>
      </c>
      <c r="N22" s="39">
        <v>772</v>
      </c>
      <c r="O22" s="18">
        <f t="shared" si="3"/>
        <v>1.9430051813471502E-2</v>
      </c>
      <c r="P22" s="19">
        <f t="shared" si="4"/>
        <v>0.4</v>
      </c>
      <c r="Q22" s="20">
        <f t="shared" si="5"/>
        <v>0.6</v>
      </c>
      <c r="R22" s="21">
        <v>1</v>
      </c>
      <c r="S22" s="21">
        <v>0</v>
      </c>
      <c r="T22" s="21">
        <v>0</v>
      </c>
      <c r="U22" s="21">
        <v>0</v>
      </c>
      <c r="V22" s="21">
        <v>1</v>
      </c>
      <c r="W22" s="21">
        <v>0</v>
      </c>
      <c r="X22" s="21">
        <v>3</v>
      </c>
      <c r="Y22" s="21">
        <v>0</v>
      </c>
      <c r="Z22" s="23" t="s">
        <v>68</v>
      </c>
      <c r="AA22" s="31"/>
      <c r="AB22" s="31"/>
      <c r="AC22" s="31"/>
      <c r="AD22" s="31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</row>
    <row r="23" spans="1:45" ht="24.95" customHeight="1">
      <c r="A23" s="85"/>
      <c r="B23" s="10">
        <v>18</v>
      </c>
      <c r="C23" s="11" t="s">
        <v>69</v>
      </c>
      <c r="D23" s="37">
        <v>162</v>
      </c>
      <c r="E23" s="37">
        <v>82</v>
      </c>
      <c r="F23" s="37">
        <v>80</v>
      </c>
      <c r="G23" s="14">
        <f t="shared" si="0"/>
        <v>1.5617468427648704E-2</v>
      </c>
      <c r="H23" s="14">
        <f t="shared" si="1"/>
        <v>0.50617283950617287</v>
      </c>
      <c r="I23" s="14">
        <f t="shared" si="2"/>
        <v>0.49382716049382713</v>
      </c>
      <c r="J23" s="15">
        <v>74</v>
      </c>
      <c r="K23" s="15">
        <v>37</v>
      </c>
      <c r="L23" s="15">
        <v>37</v>
      </c>
      <c r="M23" s="16" t="s">
        <v>33</v>
      </c>
      <c r="N23" s="39">
        <v>10373</v>
      </c>
      <c r="O23" s="18">
        <f t="shared" si="3"/>
        <v>7.1339053311481734E-3</v>
      </c>
      <c r="P23" s="19">
        <f t="shared" si="4"/>
        <v>0.5</v>
      </c>
      <c r="Q23" s="20">
        <f t="shared" si="5"/>
        <v>0.5</v>
      </c>
      <c r="R23" s="21">
        <v>8</v>
      </c>
      <c r="S23" s="21">
        <v>0</v>
      </c>
      <c r="T23" s="21">
        <v>0</v>
      </c>
      <c r="U23" s="21">
        <v>0</v>
      </c>
      <c r="V23" s="21">
        <v>8</v>
      </c>
      <c r="W23" s="21">
        <v>0</v>
      </c>
      <c r="X23" s="21">
        <v>12</v>
      </c>
      <c r="Y23" s="21">
        <v>5</v>
      </c>
      <c r="Z23" s="23" t="s">
        <v>70</v>
      </c>
      <c r="AA23" s="31"/>
      <c r="AB23" s="31"/>
      <c r="AC23" s="31"/>
      <c r="AD23" s="31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</row>
    <row r="24" spans="1:45" ht="24.95" customHeight="1">
      <c r="A24" s="85"/>
      <c r="B24" s="10">
        <v>19</v>
      </c>
      <c r="C24" s="11" t="s">
        <v>71</v>
      </c>
      <c r="D24" s="37">
        <v>187</v>
      </c>
      <c r="E24" s="37">
        <v>98</v>
      </c>
      <c r="F24" s="37">
        <v>89</v>
      </c>
      <c r="G24" s="14">
        <f t="shared" si="0"/>
        <v>1.2859304084720122E-2</v>
      </c>
      <c r="H24" s="14">
        <f t="shared" si="1"/>
        <v>0.52406417112299464</v>
      </c>
      <c r="I24" s="14">
        <f t="shared" si="2"/>
        <v>0.47593582887700536</v>
      </c>
      <c r="J24" s="15">
        <v>110</v>
      </c>
      <c r="K24" s="15">
        <v>59</v>
      </c>
      <c r="L24" s="15">
        <v>51</v>
      </c>
      <c r="M24" s="16" t="s">
        <v>33</v>
      </c>
      <c r="N24" s="15">
        <v>14542</v>
      </c>
      <c r="O24" s="18">
        <f t="shared" si="3"/>
        <v>7.5642965204236008E-3</v>
      </c>
      <c r="P24" s="19">
        <f t="shared" si="4"/>
        <v>0.53636363636363638</v>
      </c>
      <c r="Q24" s="20">
        <f t="shared" si="5"/>
        <v>0.46363636363636362</v>
      </c>
      <c r="R24" s="21">
        <v>8</v>
      </c>
      <c r="S24" s="21">
        <v>1</v>
      </c>
      <c r="T24" s="21">
        <v>0</v>
      </c>
      <c r="U24" s="21">
        <v>0</v>
      </c>
      <c r="V24" s="21">
        <v>8</v>
      </c>
      <c r="W24" s="21">
        <v>1</v>
      </c>
      <c r="X24" s="21">
        <v>28</v>
      </c>
      <c r="Y24" s="21">
        <v>4</v>
      </c>
      <c r="Z24" s="23" t="s">
        <v>72</v>
      </c>
      <c r="AA24" s="31"/>
      <c r="AB24" s="31"/>
      <c r="AC24" s="31"/>
      <c r="AD24" s="31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</row>
    <row r="25" spans="1:45" ht="24.95" customHeight="1">
      <c r="A25" s="86"/>
      <c r="B25" s="10">
        <v>20</v>
      </c>
      <c r="C25" s="11" t="s">
        <v>73</v>
      </c>
      <c r="D25" s="40">
        <v>1012</v>
      </c>
      <c r="E25" s="37">
        <v>495</v>
      </c>
      <c r="F25" s="37">
        <v>517</v>
      </c>
      <c r="G25" s="14">
        <f t="shared" si="0"/>
        <v>1.1584116482183125E-2</v>
      </c>
      <c r="H25" s="14">
        <f t="shared" si="1"/>
        <v>0.4891304347826087</v>
      </c>
      <c r="I25" s="14">
        <f t="shared" si="2"/>
        <v>0.51086956521739135</v>
      </c>
      <c r="J25" s="15">
        <v>563</v>
      </c>
      <c r="K25" s="15">
        <v>312</v>
      </c>
      <c r="L25" s="15">
        <v>251</v>
      </c>
      <c r="M25" s="16" t="s">
        <v>33</v>
      </c>
      <c r="N25" s="39">
        <v>87361</v>
      </c>
      <c r="O25" s="18">
        <f t="shared" si="3"/>
        <v>6.4445232998706515E-3</v>
      </c>
      <c r="P25" s="19">
        <f t="shared" si="4"/>
        <v>0.55417406749555953</v>
      </c>
      <c r="Q25" s="20">
        <f t="shared" si="5"/>
        <v>0.44582593250444047</v>
      </c>
      <c r="R25" s="21">
        <v>27</v>
      </c>
      <c r="S25" s="21">
        <v>2</v>
      </c>
      <c r="T25" s="21">
        <v>0</v>
      </c>
      <c r="U25" s="21">
        <v>3</v>
      </c>
      <c r="V25" s="21">
        <v>25</v>
      </c>
      <c r="W25" s="21">
        <v>1</v>
      </c>
      <c r="X25" s="21">
        <v>187</v>
      </c>
      <c r="Y25" s="21">
        <v>28</v>
      </c>
      <c r="Z25" s="23" t="s">
        <v>74</v>
      </c>
      <c r="AA25" s="31"/>
      <c r="AB25" s="31"/>
      <c r="AC25" s="31"/>
      <c r="AD25" s="31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</row>
    <row r="26" spans="1:45" ht="24.95" customHeight="1">
      <c r="A26" s="84" t="s">
        <v>75</v>
      </c>
      <c r="B26" s="10">
        <v>21</v>
      </c>
      <c r="C26" s="11" t="s">
        <v>76</v>
      </c>
      <c r="D26" s="37">
        <v>94</v>
      </c>
      <c r="E26" s="37">
        <v>47</v>
      </c>
      <c r="F26" s="37">
        <v>47</v>
      </c>
      <c r="G26" s="14">
        <f t="shared" si="0"/>
        <v>1.3525179856115108E-2</v>
      </c>
      <c r="H26" s="14">
        <f t="shared" si="1"/>
        <v>0.5</v>
      </c>
      <c r="I26" s="14">
        <f t="shared" si="2"/>
        <v>0.5</v>
      </c>
      <c r="J26" s="15">
        <v>58</v>
      </c>
      <c r="K26" s="15">
        <v>28</v>
      </c>
      <c r="L26" s="15">
        <v>30</v>
      </c>
      <c r="M26" s="16" t="s">
        <v>33</v>
      </c>
      <c r="N26" s="39">
        <v>6950</v>
      </c>
      <c r="O26" s="18">
        <f t="shared" si="3"/>
        <v>8.3453237410071948E-3</v>
      </c>
      <c r="P26" s="19">
        <f t="shared" si="4"/>
        <v>0.48275862068965519</v>
      </c>
      <c r="Q26" s="20">
        <f t="shared" si="5"/>
        <v>0.51724137931034486</v>
      </c>
      <c r="R26" s="21">
        <v>0</v>
      </c>
      <c r="S26" s="21">
        <v>1</v>
      </c>
      <c r="T26" s="21">
        <v>0</v>
      </c>
      <c r="U26" s="21">
        <v>0</v>
      </c>
      <c r="V26" s="21">
        <v>1</v>
      </c>
      <c r="W26" s="21">
        <v>0</v>
      </c>
      <c r="X26" s="21">
        <v>50</v>
      </c>
      <c r="Y26" s="21">
        <v>0</v>
      </c>
      <c r="Z26" s="23" t="s">
        <v>77</v>
      </c>
      <c r="AA26" s="31"/>
      <c r="AB26" s="31"/>
      <c r="AC26" s="31"/>
      <c r="AD26" s="31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</row>
    <row r="27" spans="1:45" ht="24.95" customHeight="1">
      <c r="A27" s="85"/>
      <c r="B27" s="10">
        <v>22</v>
      </c>
      <c r="C27" s="11" t="s">
        <v>78</v>
      </c>
      <c r="D27" s="37">
        <v>97</v>
      </c>
      <c r="E27" s="37">
        <v>50</v>
      </c>
      <c r="F27" s="37">
        <v>47</v>
      </c>
      <c r="G27" s="14">
        <f t="shared" si="0"/>
        <v>1.6299781549319443E-2</v>
      </c>
      <c r="H27" s="14">
        <f t="shared" si="1"/>
        <v>0.51546391752577314</v>
      </c>
      <c r="I27" s="14">
        <f t="shared" si="2"/>
        <v>0.4845360824742268</v>
      </c>
      <c r="J27" s="15">
        <v>39</v>
      </c>
      <c r="K27" s="15">
        <v>17</v>
      </c>
      <c r="L27" s="15">
        <v>22</v>
      </c>
      <c r="M27" s="16" t="s">
        <v>33</v>
      </c>
      <c r="N27" s="39">
        <v>5951</v>
      </c>
      <c r="O27" s="18">
        <f t="shared" si="3"/>
        <v>6.5535204167366827E-3</v>
      </c>
      <c r="P27" s="19">
        <f t="shared" si="4"/>
        <v>0.4358974358974359</v>
      </c>
      <c r="Q27" s="20">
        <f t="shared" si="5"/>
        <v>0.5641025641025641</v>
      </c>
      <c r="R27" s="21">
        <v>2</v>
      </c>
      <c r="S27" s="21">
        <v>0</v>
      </c>
      <c r="T27" s="21">
        <v>0</v>
      </c>
      <c r="U27" s="21">
        <v>0</v>
      </c>
      <c r="V27" s="21">
        <v>2</v>
      </c>
      <c r="W27" s="21">
        <v>0</v>
      </c>
      <c r="X27" s="21">
        <v>2</v>
      </c>
      <c r="Y27" s="21">
        <v>9</v>
      </c>
      <c r="Z27" s="23" t="s">
        <v>64</v>
      </c>
      <c r="AA27" s="31"/>
      <c r="AB27" s="31"/>
      <c r="AC27" s="31"/>
      <c r="AD27" s="31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</row>
    <row r="28" spans="1:45" ht="24.95" customHeight="1">
      <c r="A28" s="85"/>
      <c r="B28" s="10">
        <v>23</v>
      </c>
      <c r="C28" s="11" t="s">
        <v>79</v>
      </c>
      <c r="D28" s="24">
        <v>23</v>
      </c>
      <c r="E28" s="24">
        <v>12</v>
      </c>
      <c r="F28" s="24">
        <v>11</v>
      </c>
      <c r="G28" s="14">
        <f t="shared" si="0"/>
        <v>8.7352829472085083E-3</v>
      </c>
      <c r="H28" s="14">
        <f t="shared" si="1"/>
        <v>0.52173913043478259</v>
      </c>
      <c r="I28" s="14">
        <f t="shared" si="2"/>
        <v>0.47826086956521741</v>
      </c>
      <c r="J28" s="15">
        <v>22</v>
      </c>
      <c r="K28" s="15">
        <v>12</v>
      </c>
      <c r="L28" s="15">
        <v>19</v>
      </c>
      <c r="M28" s="16" t="s">
        <v>33</v>
      </c>
      <c r="N28" s="39">
        <v>2633</v>
      </c>
      <c r="O28" s="18">
        <f t="shared" si="3"/>
        <v>8.3554880364603117E-3</v>
      </c>
      <c r="P28" s="19">
        <f t="shared" si="4"/>
        <v>0.54545454545454541</v>
      </c>
      <c r="Q28" s="20">
        <f t="shared" si="5"/>
        <v>0.86363636363636365</v>
      </c>
      <c r="R28" s="21">
        <v>1</v>
      </c>
      <c r="S28" s="21">
        <v>0</v>
      </c>
      <c r="T28" s="21">
        <v>0</v>
      </c>
      <c r="U28" s="21">
        <v>0</v>
      </c>
      <c r="V28" s="21">
        <v>1</v>
      </c>
      <c r="W28" s="21">
        <v>0</v>
      </c>
      <c r="X28" s="21">
        <v>1</v>
      </c>
      <c r="Y28" s="21">
        <v>0</v>
      </c>
      <c r="Z28" s="23" t="s">
        <v>80</v>
      </c>
      <c r="AA28" s="31"/>
      <c r="AB28" s="31"/>
      <c r="AC28" s="31"/>
      <c r="AD28" s="31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</row>
    <row r="29" spans="1:45" ht="24.95" customHeight="1">
      <c r="A29" s="85"/>
      <c r="B29" s="10">
        <v>24</v>
      </c>
      <c r="C29" s="11" t="s">
        <v>81</v>
      </c>
      <c r="D29" s="37">
        <v>213</v>
      </c>
      <c r="E29" s="37">
        <v>115</v>
      </c>
      <c r="F29" s="37">
        <v>98</v>
      </c>
      <c r="G29" s="14">
        <f t="shared" si="0"/>
        <v>1.2469265893923429E-2</v>
      </c>
      <c r="H29" s="14">
        <f t="shared" si="1"/>
        <v>0.539906103286385</v>
      </c>
      <c r="I29" s="14">
        <f t="shared" si="2"/>
        <v>0.460093896713615</v>
      </c>
      <c r="J29" s="15">
        <v>162</v>
      </c>
      <c r="K29" s="15">
        <v>95</v>
      </c>
      <c r="L29" s="15">
        <v>67</v>
      </c>
      <c r="M29" s="16" t="s">
        <v>33</v>
      </c>
      <c r="N29" s="39">
        <v>17082</v>
      </c>
      <c r="O29" s="18">
        <f t="shared" si="3"/>
        <v>9.4836670179135937E-3</v>
      </c>
      <c r="P29" s="19">
        <f t="shared" si="4"/>
        <v>0.5864197530864198</v>
      </c>
      <c r="Q29" s="20">
        <f t="shared" si="5"/>
        <v>0.41358024691358025</v>
      </c>
      <c r="R29" s="21">
        <v>12</v>
      </c>
      <c r="S29" s="21">
        <v>1</v>
      </c>
      <c r="T29" s="21">
        <v>0</v>
      </c>
      <c r="U29" s="21">
        <v>1</v>
      </c>
      <c r="V29" s="21">
        <v>11</v>
      </c>
      <c r="W29" s="21">
        <v>1</v>
      </c>
      <c r="X29" s="21">
        <v>27</v>
      </c>
      <c r="Y29" s="21">
        <v>4</v>
      </c>
      <c r="Z29" s="23" t="s">
        <v>60</v>
      </c>
      <c r="AA29" s="31"/>
      <c r="AB29" s="31"/>
      <c r="AC29" s="31"/>
      <c r="AD29" s="31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</row>
    <row r="30" spans="1:45" ht="24.95" customHeight="1">
      <c r="A30" s="85"/>
      <c r="B30" s="10">
        <v>25</v>
      </c>
      <c r="C30" s="11" t="s">
        <v>82</v>
      </c>
      <c r="D30" s="37">
        <v>180</v>
      </c>
      <c r="E30" s="37">
        <v>84</v>
      </c>
      <c r="F30" s="37">
        <v>96</v>
      </c>
      <c r="G30" s="14">
        <f t="shared" si="0"/>
        <v>1.5008755107145834E-2</v>
      </c>
      <c r="H30" s="14">
        <f t="shared" si="1"/>
        <v>0.46666666666666667</v>
      </c>
      <c r="I30" s="14">
        <f t="shared" si="2"/>
        <v>0.53333333333333333</v>
      </c>
      <c r="J30" s="15">
        <v>111</v>
      </c>
      <c r="K30" s="15">
        <v>51</v>
      </c>
      <c r="L30" s="15">
        <v>60</v>
      </c>
      <c r="M30" s="16" t="s">
        <v>33</v>
      </c>
      <c r="N30" s="39">
        <v>11993</v>
      </c>
      <c r="O30" s="18">
        <f t="shared" si="3"/>
        <v>9.2553989827399308E-3</v>
      </c>
      <c r="P30" s="19">
        <f t="shared" si="4"/>
        <v>0.45945945945945948</v>
      </c>
      <c r="Q30" s="20">
        <f t="shared" si="5"/>
        <v>0.54054054054054057</v>
      </c>
      <c r="R30" s="21">
        <v>6</v>
      </c>
      <c r="S30" s="21">
        <v>0</v>
      </c>
      <c r="T30" s="21">
        <v>0</v>
      </c>
      <c r="U30" s="21">
        <v>1</v>
      </c>
      <c r="V30" s="21">
        <v>5</v>
      </c>
      <c r="W30" s="21">
        <v>0</v>
      </c>
      <c r="X30" s="21">
        <v>7</v>
      </c>
      <c r="Y30" s="21">
        <v>4</v>
      </c>
      <c r="Z30" s="23" t="s">
        <v>83</v>
      </c>
      <c r="AA30" s="31"/>
      <c r="AB30" s="31"/>
      <c r="AC30" s="31"/>
      <c r="AD30" s="31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</row>
    <row r="31" spans="1:45" ht="24.95" customHeight="1">
      <c r="A31" s="85"/>
      <c r="B31" s="10">
        <v>26</v>
      </c>
      <c r="C31" s="11" t="s">
        <v>84</v>
      </c>
      <c r="D31" s="37">
        <v>32</v>
      </c>
      <c r="E31" s="37">
        <v>18</v>
      </c>
      <c r="F31" s="37">
        <v>14</v>
      </c>
      <c r="G31" s="14">
        <f t="shared" si="0"/>
        <v>8.3967462608239302E-3</v>
      </c>
      <c r="H31" s="14">
        <f t="shared" si="1"/>
        <v>0.5625</v>
      </c>
      <c r="I31" s="14">
        <f t="shared" si="2"/>
        <v>0.4375</v>
      </c>
      <c r="J31" s="15">
        <v>33</v>
      </c>
      <c r="K31" s="15">
        <v>15</v>
      </c>
      <c r="L31" s="15">
        <v>18</v>
      </c>
      <c r="M31" s="16" t="s">
        <v>33</v>
      </c>
      <c r="N31" s="39">
        <v>3811</v>
      </c>
      <c r="O31" s="18">
        <f t="shared" si="3"/>
        <v>8.659144581474678E-3</v>
      </c>
      <c r="P31" s="19">
        <f t="shared" si="4"/>
        <v>0.45454545454545453</v>
      </c>
      <c r="Q31" s="20">
        <f t="shared" si="5"/>
        <v>0.54545454545454541</v>
      </c>
      <c r="R31" s="21">
        <v>1</v>
      </c>
      <c r="S31" s="21">
        <v>0</v>
      </c>
      <c r="T31" s="21">
        <v>0</v>
      </c>
      <c r="U31" s="21">
        <v>0</v>
      </c>
      <c r="V31" s="21">
        <v>1</v>
      </c>
      <c r="W31" s="21">
        <v>0</v>
      </c>
      <c r="X31" s="21">
        <v>1</v>
      </c>
      <c r="Y31" s="21">
        <v>0</v>
      </c>
      <c r="Z31" s="23" t="s">
        <v>85</v>
      </c>
      <c r="AA31" s="31"/>
      <c r="AB31" s="31"/>
      <c r="AC31" s="31"/>
      <c r="AD31" s="31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</row>
    <row r="32" spans="1:45" ht="24.95" customHeight="1">
      <c r="A32" s="85"/>
      <c r="B32" s="10">
        <v>27</v>
      </c>
      <c r="C32" s="11" t="s">
        <v>86</v>
      </c>
      <c r="D32" s="37">
        <v>43</v>
      </c>
      <c r="E32" s="37">
        <v>23</v>
      </c>
      <c r="F32" s="37">
        <v>20</v>
      </c>
      <c r="G32" s="14">
        <f t="shared" si="0"/>
        <v>9.4734523022692221E-3</v>
      </c>
      <c r="H32" s="14">
        <f t="shared" si="1"/>
        <v>0.53488372093023251</v>
      </c>
      <c r="I32" s="14">
        <f t="shared" si="2"/>
        <v>0.46511627906976744</v>
      </c>
      <c r="J32" s="15">
        <v>31</v>
      </c>
      <c r="K32" s="15">
        <v>15</v>
      </c>
      <c r="L32" s="15">
        <v>16</v>
      </c>
      <c r="M32" s="16" t="s">
        <v>33</v>
      </c>
      <c r="N32" s="39">
        <v>4539</v>
      </c>
      <c r="O32" s="18">
        <f t="shared" si="3"/>
        <v>6.8296981714033927E-3</v>
      </c>
      <c r="P32" s="19">
        <f t="shared" si="4"/>
        <v>0.4838709677419355</v>
      </c>
      <c r="Q32" s="20">
        <f t="shared" si="5"/>
        <v>0.5161290322580645</v>
      </c>
      <c r="R32" s="21">
        <v>3</v>
      </c>
      <c r="S32" s="21">
        <v>0</v>
      </c>
      <c r="T32" s="21">
        <v>0</v>
      </c>
      <c r="U32" s="21">
        <v>0</v>
      </c>
      <c r="V32" s="21">
        <v>2</v>
      </c>
      <c r="W32" s="21">
        <v>1</v>
      </c>
      <c r="X32" s="21">
        <v>4</v>
      </c>
      <c r="Y32" s="21">
        <v>0</v>
      </c>
      <c r="Z32" s="23" t="s">
        <v>87</v>
      </c>
      <c r="AA32" s="31"/>
      <c r="AB32" s="31"/>
      <c r="AC32" s="31"/>
      <c r="AD32" s="31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</row>
    <row r="33" spans="1:45" ht="24.95" customHeight="1">
      <c r="A33" s="85"/>
      <c r="B33" s="10">
        <v>28</v>
      </c>
      <c r="C33" s="11" t="s">
        <v>88</v>
      </c>
      <c r="D33" s="37">
        <v>66</v>
      </c>
      <c r="E33" s="37">
        <v>39</v>
      </c>
      <c r="F33" s="37">
        <v>27</v>
      </c>
      <c r="G33" s="14">
        <f t="shared" si="0"/>
        <v>1.1629955947136564E-2</v>
      </c>
      <c r="H33" s="14">
        <f t="shared" si="1"/>
        <v>0.59090909090909094</v>
      </c>
      <c r="I33" s="14">
        <f t="shared" si="2"/>
        <v>0.40909090909090912</v>
      </c>
      <c r="J33" s="15">
        <v>29</v>
      </c>
      <c r="K33" s="15">
        <v>12</v>
      </c>
      <c r="L33" s="15">
        <v>17</v>
      </c>
      <c r="M33" s="16" t="s">
        <v>33</v>
      </c>
      <c r="N33" s="39">
        <v>5675</v>
      </c>
      <c r="O33" s="18">
        <f t="shared" si="3"/>
        <v>5.1101321585903083E-3</v>
      </c>
      <c r="P33" s="19">
        <f t="shared" si="4"/>
        <v>0.41379310344827586</v>
      </c>
      <c r="Q33" s="20">
        <f t="shared" si="5"/>
        <v>0.58620689655172409</v>
      </c>
      <c r="R33" s="21">
        <v>4</v>
      </c>
      <c r="S33" s="21">
        <v>1</v>
      </c>
      <c r="T33" s="21">
        <v>0</v>
      </c>
      <c r="U33" s="21">
        <v>1</v>
      </c>
      <c r="V33" s="21">
        <v>3</v>
      </c>
      <c r="W33" s="21">
        <v>1</v>
      </c>
      <c r="X33" s="21">
        <v>11</v>
      </c>
      <c r="Y33" s="21">
        <v>1</v>
      </c>
      <c r="Z33" s="23" t="s">
        <v>89</v>
      </c>
      <c r="AA33" s="31"/>
      <c r="AB33" s="31"/>
      <c r="AC33" s="31"/>
      <c r="AD33" s="31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</row>
    <row r="34" spans="1:45" ht="24.95" customHeight="1">
      <c r="A34" s="85"/>
      <c r="B34" s="10">
        <v>29</v>
      </c>
      <c r="C34" s="11" t="s">
        <v>90</v>
      </c>
      <c r="D34" s="37">
        <v>193</v>
      </c>
      <c r="E34" s="37">
        <v>98</v>
      </c>
      <c r="F34" s="37">
        <v>95</v>
      </c>
      <c r="G34" s="14">
        <f t="shared" si="0"/>
        <v>1.4817658349328215E-2</v>
      </c>
      <c r="H34" s="14">
        <f t="shared" si="1"/>
        <v>0.50777202072538863</v>
      </c>
      <c r="I34" s="14">
        <f t="shared" si="2"/>
        <v>0.49222797927461137</v>
      </c>
      <c r="J34" s="15">
        <v>113</v>
      </c>
      <c r="K34" s="15">
        <v>65</v>
      </c>
      <c r="L34" s="15">
        <v>48</v>
      </c>
      <c r="M34" s="16" t="s">
        <v>33</v>
      </c>
      <c r="N34" s="39">
        <v>13025</v>
      </c>
      <c r="O34" s="18">
        <f t="shared" si="3"/>
        <v>8.6756238003838776E-3</v>
      </c>
      <c r="P34" s="19">
        <f t="shared" si="4"/>
        <v>0.5752212389380531</v>
      </c>
      <c r="Q34" s="20">
        <f t="shared" si="5"/>
        <v>0.4247787610619469</v>
      </c>
      <c r="R34" s="21">
        <v>6</v>
      </c>
      <c r="S34" s="21">
        <v>0</v>
      </c>
      <c r="T34" s="21">
        <v>0</v>
      </c>
      <c r="U34" s="21">
        <v>0</v>
      </c>
      <c r="V34" s="21">
        <v>5</v>
      </c>
      <c r="W34" s="21">
        <v>1</v>
      </c>
      <c r="X34" s="21">
        <v>12</v>
      </c>
      <c r="Y34" s="21">
        <v>10</v>
      </c>
      <c r="Z34" s="23" t="s">
        <v>91</v>
      </c>
      <c r="AA34" s="31"/>
      <c r="AB34" s="31"/>
      <c r="AC34" s="31"/>
      <c r="AD34" s="31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</row>
    <row r="35" spans="1:45" ht="24.95" customHeight="1">
      <c r="A35" s="86"/>
      <c r="B35" s="10">
        <v>30</v>
      </c>
      <c r="C35" s="11" t="s">
        <v>92</v>
      </c>
      <c r="D35" s="37">
        <v>228</v>
      </c>
      <c r="E35" s="37">
        <v>120</v>
      </c>
      <c r="F35" s="37">
        <v>108</v>
      </c>
      <c r="G35" s="14">
        <f t="shared" si="0"/>
        <v>1.4314414866901055E-2</v>
      </c>
      <c r="H35" s="14">
        <f t="shared" si="1"/>
        <v>0.52631578947368418</v>
      </c>
      <c r="I35" s="14">
        <f t="shared" si="2"/>
        <v>0.47368421052631576</v>
      </c>
      <c r="J35" s="15">
        <v>89</v>
      </c>
      <c r="K35" s="15">
        <v>45</v>
      </c>
      <c r="L35" s="15">
        <v>44</v>
      </c>
      <c r="M35" s="16" t="s">
        <v>33</v>
      </c>
      <c r="N35" s="39">
        <v>15928</v>
      </c>
      <c r="O35" s="18">
        <f t="shared" si="3"/>
        <v>5.5876443997990959E-3</v>
      </c>
      <c r="P35" s="19">
        <f t="shared" si="4"/>
        <v>0.5056179775280899</v>
      </c>
      <c r="Q35" s="20">
        <f t="shared" si="5"/>
        <v>0.4943820224719101</v>
      </c>
      <c r="R35" s="21">
        <v>5</v>
      </c>
      <c r="S35" s="21">
        <v>0</v>
      </c>
      <c r="T35" s="21">
        <v>0</v>
      </c>
      <c r="U35" s="21">
        <v>0</v>
      </c>
      <c r="V35" s="21">
        <v>4</v>
      </c>
      <c r="W35" s="21">
        <v>1</v>
      </c>
      <c r="X35" s="21">
        <v>12</v>
      </c>
      <c r="Y35" s="21">
        <v>7</v>
      </c>
      <c r="Z35" s="23" t="s">
        <v>93</v>
      </c>
      <c r="AA35" s="31"/>
      <c r="AB35" s="31"/>
      <c r="AC35" s="31"/>
      <c r="AD35" s="31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</row>
    <row r="36" spans="1:45" ht="24.95" customHeight="1">
      <c r="A36" s="84" t="s">
        <v>94</v>
      </c>
      <c r="B36" s="10">
        <v>31</v>
      </c>
      <c r="C36" s="11" t="s">
        <v>95</v>
      </c>
      <c r="D36" s="37">
        <v>30</v>
      </c>
      <c r="E36" s="37">
        <v>16</v>
      </c>
      <c r="F36" s="37">
        <v>14</v>
      </c>
      <c r="G36" s="14">
        <f t="shared" si="0"/>
        <v>1.2234910277324634E-2</v>
      </c>
      <c r="H36" s="14">
        <f t="shared" si="1"/>
        <v>0.53333333333333333</v>
      </c>
      <c r="I36" s="14">
        <f t="shared" si="2"/>
        <v>0.46666666666666667</v>
      </c>
      <c r="J36" s="15">
        <v>27</v>
      </c>
      <c r="K36" s="15">
        <v>14</v>
      </c>
      <c r="L36" s="15">
        <v>13</v>
      </c>
      <c r="M36" s="16" t="s">
        <v>33</v>
      </c>
      <c r="N36" s="39">
        <v>2452</v>
      </c>
      <c r="O36" s="18">
        <f t="shared" si="3"/>
        <v>1.101141924959217E-2</v>
      </c>
      <c r="P36" s="19">
        <f t="shared" si="4"/>
        <v>0.51851851851851849</v>
      </c>
      <c r="Q36" s="20">
        <f t="shared" si="5"/>
        <v>0.48148148148148145</v>
      </c>
      <c r="R36" s="21">
        <v>2</v>
      </c>
      <c r="S36" s="21">
        <v>0</v>
      </c>
      <c r="T36" s="21">
        <v>0</v>
      </c>
      <c r="U36" s="21">
        <v>0</v>
      </c>
      <c r="V36" s="21">
        <v>1</v>
      </c>
      <c r="W36" s="21">
        <v>1</v>
      </c>
      <c r="X36" s="21">
        <v>3</v>
      </c>
      <c r="Y36" s="21">
        <v>8</v>
      </c>
      <c r="Z36" s="23" t="s">
        <v>96</v>
      </c>
      <c r="AA36" s="31"/>
      <c r="AB36" s="31"/>
      <c r="AC36" s="31"/>
      <c r="AD36" s="31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</row>
    <row r="37" spans="1:45" ht="24.95" customHeight="1">
      <c r="A37" s="85"/>
      <c r="B37" s="10">
        <v>32</v>
      </c>
      <c r="C37" s="11" t="s">
        <v>97</v>
      </c>
      <c r="D37" s="37">
        <v>57</v>
      </c>
      <c r="E37" s="37">
        <v>28</v>
      </c>
      <c r="F37" s="37">
        <v>29</v>
      </c>
      <c r="G37" s="14">
        <f t="shared" si="0"/>
        <v>1.2788871438187121E-2</v>
      </c>
      <c r="H37" s="14">
        <f t="shared" si="1"/>
        <v>0.49122807017543857</v>
      </c>
      <c r="I37" s="14">
        <f t="shared" si="2"/>
        <v>0.50877192982456143</v>
      </c>
      <c r="J37" s="15">
        <v>46</v>
      </c>
      <c r="K37" s="15">
        <v>21</v>
      </c>
      <c r="L37" s="15">
        <v>25</v>
      </c>
      <c r="M37" s="16" t="s">
        <v>33</v>
      </c>
      <c r="N37" s="39">
        <v>4457</v>
      </c>
      <c r="O37" s="18">
        <f t="shared" si="3"/>
        <v>1.032084361678259E-2</v>
      </c>
      <c r="P37" s="19">
        <f t="shared" si="4"/>
        <v>0.45652173913043476</v>
      </c>
      <c r="Q37" s="20">
        <f t="shared" si="5"/>
        <v>0.54347826086956519</v>
      </c>
      <c r="R37" s="21">
        <v>3</v>
      </c>
      <c r="S37" s="21">
        <v>0</v>
      </c>
      <c r="T37" s="21">
        <v>0</v>
      </c>
      <c r="U37" s="21">
        <v>0</v>
      </c>
      <c r="V37" s="21">
        <v>3</v>
      </c>
      <c r="W37" s="21">
        <v>0</v>
      </c>
      <c r="X37" s="21">
        <v>4</v>
      </c>
      <c r="Y37" s="21">
        <v>2</v>
      </c>
      <c r="Z37" s="23" t="s">
        <v>98</v>
      </c>
      <c r="AA37" s="31"/>
      <c r="AB37" s="31"/>
      <c r="AC37" s="31"/>
      <c r="AD37" s="31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</row>
    <row r="38" spans="1:45" ht="24.95" customHeight="1">
      <c r="A38" s="85"/>
      <c r="B38" s="10">
        <v>33</v>
      </c>
      <c r="C38" s="11" t="s">
        <v>99</v>
      </c>
      <c r="D38" s="37">
        <v>44</v>
      </c>
      <c r="E38" s="37">
        <v>19</v>
      </c>
      <c r="F38" s="37">
        <v>25</v>
      </c>
      <c r="G38" s="14">
        <f t="shared" si="0"/>
        <v>1.2779552715654952E-2</v>
      </c>
      <c r="H38" s="14">
        <f t="shared" si="1"/>
        <v>0.43181818181818182</v>
      </c>
      <c r="I38" s="14">
        <f t="shared" si="2"/>
        <v>0.56818181818181823</v>
      </c>
      <c r="J38" s="15">
        <v>40</v>
      </c>
      <c r="K38" s="15">
        <v>19</v>
      </c>
      <c r="L38" s="15">
        <v>21</v>
      </c>
      <c r="M38" s="16" t="s">
        <v>33</v>
      </c>
      <c r="N38" s="39">
        <v>3443</v>
      </c>
      <c r="O38" s="18">
        <f t="shared" si="3"/>
        <v>1.1617775196049956E-2</v>
      </c>
      <c r="P38" s="19">
        <f t="shared" si="4"/>
        <v>0.47499999999999998</v>
      </c>
      <c r="Q38" s="20">
        <f t="shared" si="5"/>
        <v>0.52500000000000002</v>
      </c>
      <c r="R38" s="21">
        <v>3</v>
      </c>
      <c r="S38" s="21">
        <v>0</v>
      </c>
      <c r="T38" s="21">
        <v>0</v>
      </c>
      <c r="U38" s="21">
        <v>0</v>
      </c>
      <c r="V38" s="21">
        <v>3</v>
      </c>
      <c r="W38" s="21">
        <v>0</v>
      </c>
      <c r="X38" s="21">
        <v>4</v>
      </c>
      <c r="Y38" s="21">
        <v>9</v>
      </c>
      <c r="Z38" s="23" t="s">
        <v>93</v>
      </c>
      <c r="AA38" s="31"/>
      <c r="AB38" s="31"/>
      <c r="AC38" s="31"/>
      <c r="AD38" s="31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</row>
    <row r="39" spans="1:45" ht="24.95" customHeight="1">
      <c r="A39" s="85"/>
      <c r="B39" s="10">
        <v>34</v>
      </c>
      <c r="C39" s="11" t="s">
        <v>100</v>
      </c>
      <c r="D39" s="37">
        <v>65</v>
      </c>
      <c r="E39" s="37">
        <v>33</v>
      </c>
      <c r="F39" s="37">
        <v>32</v>
      </c>
      <c r="G39" s="14">
        <f t="shared" si="0"/>
        <v>1.0972316002700877E-2</v>
      </c>
      <c r="H39" s="14">
        <f t="shared" si="1"/>
        <v>0.50769230769230766</v>
      </c>
      <c r="I39" s="14">
        <f t="shared" si="2"/>
        <v>0.49230769230769234</v>
      </c>
      <c r="J39" s="15">
        <v>64</v>
      </c>
      <c r="K39" s="15">
        <v>41</v>
      </c>
      <c r="L39" s="15">
        <v>23</v>
      </c>
      <c r="M39" s="16" t="s">
        <v>33</v>
      </c>
      <c r="N39" s="39">
        <v>5924</v>
      </c>
      <c r="O39" s="18">
        <f t="shared" si="3"/>
        <v>1.0803511141120865E-2</v>
      </c>
      <c r="P39" s="19">
        <f t="shared" si="4"/>
        <v>0.640625</v>
      </c>
      <c r="Q39" s="20">
        <f t="shared" si="5"/>
        <v>0.359375</v>
      </c>
      <c r="R39" s="21">
        <v>3</v>
      </c>
      <c r="S39" s="21">
        <v>0</v>
      </c>
      <c r="T39" s="21">
        <v>0</v>
      </c>
      <c r="U39" s="21">
        <v>0</v>
      </c>
      <c r="V39" s="21">
        <v>2</v>
      </c>
      <c r="W39" s="21">
        <v>1</v>
      </c>
      <c r="X39" s="21">
        <v>3</v>
      </c>
      <c r="Y39" s="21">
        <v>6</v>
      </c>
      <c r="Z39" s="23" t="s">
        <v>101</v>
      </c>
      <c r="AA39" s="31"/>
      <c r="AB39" s="31"/>
      <c r="AC39" s="31"/>
      <c r="AD39" s="31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</row>
    <row r="40" spans="1:45" ht="24.95" customHeight="1">
      <c r="A40" s="85"/>
      <c r="B40" s="10">
        <v>35</v>
      </c>
      <c r="C40" s="11" t="s">
        <v>102</v>
      </c>
      <c r="D40" s="37">
        <v>300</v>
      </c>
      <c r="E40" s="37">
        <v>164</v>
      </c>
      <c r="F40" s="37">
        <v>136</v>
      </c>
      <c r="G40" s="14">
        <f t="shared" si="0"/>
        <v>1.4480861128541777E-2</v>
      </c>
      <c r="H40" s="14">
        <f t="shared" si="1"/>
        <v>0.54666666666666663</v>
      </c>
      <c r="I40" s="14">
        <f t="shared" si="2"/>
        <v>0.45333333333333331</v>
      </c>
      <c r="J40" s="15">
        <v>150</v>
      </c>
      <c r="K40" s="15">
        <v>73</v>
      </c>
      <c r="L40" s="15">
        <v>77</v>
      </c>
      <c r="M40" s="16" t="s">
        <v>33</v>
      </c>
      <c r="N40" s="39">
        <v>20717</v>
      </c>
      <c r="O40" s="18">
        <f t="shared" si="3"/>
        <v>7.2404305642708887E-3</v>
      </c>
      <c r="P40" s="19">
        <f t="shared" si="4"/>
        <v>0.48666666666666669</v>
      </c>
      <c r="Q40" s="20">
        <f t="shared" si="5"/>
        <v>0.51333333333333331</v>
      </c>
      <c r="R40" s="21">
        <v>10</v>
      </c>
      <c r="S40" s="21">
        <v>0</v>
      </c>
      <c r="T40" s="21">
        <v>0</v>
      </c>
      <c r="U40" s="21">
        <v>0</v>
      </c>
      <c r="V40" s="21">
        <v>9</v>
      </c>
      <c r="W40" s="21">
        <v>1</v>
      </c>
      <c r="X40" s="21">
        <v>16</v>
      </c>
      <c r="Y40" s="21">
        <v>17</v>
      </c>
      <c r="Z40" s="23" t="s">
        <v>103</v>
      </c>
      <c r="AA40" s="31"/>
      <c r="AB40" s="31"/>
      <c r="AC40" s="31"/>
      <c r="AD40" s="31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</row>
    <row r="41" spans="1:45" ht="24.95" customHeight="1">
      <c r="A41" s="85"/>
      <c r="B41" s="10">
        <v>36</v>
      </c>
      <c r="C41" s="11" t="s">
        <v>104</v>
      </c>
      <c r="D41" s="37">
        <v>653</v>
      </c>
      <c r="E41" s="37">
        <v>322</v>
      </c>
      <c r="F41" s="37">
        <v>331</v>
      </c>
      <c r="G41" s="14">
        <f t="shared" si="0"/>
        <v>1.3095620086635649E-2</v>
      </c>
      <c r="H41" s="14">
        <f t="shared" si="1"/>
        <v>0.49310872894333846</v>
      </c>
      <c r="I41" s="14">
        <f t="shared" si="2"/>
        <v>0.50689127105666154</v>
      </c>
      <c r="J41" s="15">
        <v>426</v>
      </c>
      <c r="K41" s="15">
        <v>236</v>
      </c>
      <c r="L41" s="15">
        <v>190</v>
      </c>
      <c r="M41" s="16" t="s">
        <v>33</v>
      </c>
      <c r="N41" s="39">
        <v>49864</v>
      </c>
      <c r="O41" s="18">
        <f t="shared" si="3"/>
        <v>8.5432376062891061E-3</v>
      </c>
      <c r="P41" s="19">
        <f t="shared" si="4"/>
        <v>0.5539906103286385</v>
      </c>
      <c r="Q41" s="20">
        <f t="shared" si="5"/>
        <v>0.4460093896713615</v>
      </c>
      <c r="R41" s="21">
        <v>20</v>
      </c>
      <c r="S41" s="21">
        <v>1</v>
      </c>
      <c r="T41" s="21">
        <v>0</v>
      </c>
      <c r="U41" s="21">
        <v>2</v>
      </c>
      <c r="V41" s="21">
        <v>18</v>
      </c>
      <c r="W41" s="21">
        <v>1</v>
      </c>
      <c r="X41" s="21">
        <v>100</v>
      </c>
      <c r="Y41" s="21">
        <v>59</v>
      </c>
      <c r="Z41" s="23" t="s">
        <v>105</v>
      </c>
      <c r="AA41" s="31"/>
      <c r="AB41" s="31"/>
      <c r="AC41" s="31"/>
      <c r="AD41" s="31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</row>
    <row r="42" spans="1:45" ht="24.95" customHeight="1">
      <c r="A42" s="86"/>
      <c r="B42" s="10">
        <v>37</v>
      </c>
      <c r="C42" s="11" t="s">
        <v>106</v>
      </c>
      <c r="D42" s="37">
        <v>709</v>
      </c>
      <c r="E42" s="37">
        <v>384</v>
      </c>
      <c r="F42" s="37">
        <v>325</v>
      </c>
      <c r="G42" s="14">
        <f t="shared" si="0"/>
        <v>1.2248000414600861E-2</v>
      </c>
      <c r="H42" s="14">
        <f t="shared" si="1"/>
        <v>0.54160789844851909</v>
      </c>
      <c r="I42" s="14">
        <f t="shared" si="2"/>
        <v>0.45839210155148097</v>
      </c>
      <c r="J42" s="15">
        <v>453</v>
      </c>
      <c r="K42" s="15">
        <v>248</v>
      </c>
      <c r="L42" s="15">
        <v>205</v>
      </c>
      <c r="M42" s="16" t="s">
        <v>33</v>
      </c>
      <c r="N42" s="39">
        <v>57887</v>
      </c>
      <c r="O42" s="18">
        <f t="shared" si="3"/>
        <v>7.8255912381018193E-3</v>
      </c>
      <c r="P42" s="19">
        <f t="shared" si="4"/>
        <v>0.54746136865342165</v>
      </c>
      <c r="Q42" s="20">
        <f t="shared" si="5"/>
        <v>0.45253863134657835</v>
      </c>
      <c r="R42" s="21">
        <v>18</v>
      </c>
      <c r="S42" s="21">
        <v>2</v>
      </c>
      <c r="T42" s="21">
        <v>0</v>
      </c>
      <c r="U42" s="21">
        <v>2</v>
      </c>
      <c r="V42" s="21">
        <v>17</v>
      </c>
      <c r="W42" s="21">
        <v>1</v>
      </c>
      <c r="X42" s="21">
        <v>132</v>
      </c>
      <c r="Y42" s="21">
        <v>25</v>
      </c>
      <c r="Z42" s="23" t="s">
        <v>107</v>
      </c>
      <c r="AA42" s="31"/>
      <c r="AB42" s="31"/>
      <c r="AC42" s="31"/>
      <c r="AD42" s="31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</row>
    <row r="43" spans="1:45" ht="24.95" customHeight="1">
      <c r="A43" s="84" t="s">
        <v>108</v>
      </c>
      <c r="B43" s="10">
        <v>38</v>
      </c>
      <c r="C43" s="11" t="s">
        <v>109</v>
      </c>
      <c r="D43" s="37">
        <v>207</v>
      </c>
      <c r="E43" s="37">
        <v>107</v>
      </c>
      <c r="F43" s="37">
        <v>100</v>
      </c>
      <c r="G43" s="14">
        <f t="shared" si="0"/>
        <v>1.5825688073394496E-2</v>
      </c>
      <c r="H43" s="14">
        <f t="shared" si="1"/>
        <v>0.51690821256038644</v>
      </c>
      <c r="I43" s="14">
        <f t="shared" si="2"/>
        <v>0.48309178743961351</v>
      </c>
      <c r="J43" s="15">
        <v>115</v>
      </c>
      <c r="K43" s="15">
        <v>58</v>
      </c>
      <c r="L43" s="15">
        <v>57</v>
      </c>
      <c r="M43" s="16" t="s">
        <v>33</v>
      </c>
      <c r="N43" s="39">
        <v>13080</v>
      </c>
      <c r="O43" s="18">
        <f t="shared" si="3"/>
        <v>8.7920489296636085E-3</v>
      </c>
      <c r="P43" s="19">
        <f t="shared" si="4"/>
        <v>0.5043478260869565</v>
      </c>
      <c r="Q43" s="20">
        <f t="shared" si="5"/>
        <v>0.4956521739130435</v>
      </c>
      <c r="R43" s="21">
        <v>4</v>
      </c>
      <c r="S43" s="21">
        <v>0</v>
      </c>
      <c r="T43" s="21">
        <v>0</v>
      </c>
      <c r="U43" s="21">
        <v>0</v>
      </c>
      <c r="V43" s="21">
        <v>3</v>
      </c>
      <c r="W43" s="21">
        <v>1</v>
      </c>
      <c r="X43" s="21">
        <v>7</v>
      </c>
      <c r="Y43" s="21">
        <v>5</v>
      </c>
      <c r="Z43" s="23" t="s">
        <v>110</v>
      </c>
      <c r="AA43" s="31"/>
      <c r="AB43" s="31"/>
      <c r="AC43" s="31"/>
      <c r="AD43" s="31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</row>
    <row r="44" spans="1:45" ht="24.95" customHeight="1">
      <c r="A44" s="85"/>
      <c r="B44" s="10">
        <v>39</v>
      </c>
      <c r="C44" s="11" t="s">
        <v>111</v>
      </c>
      <c r="D44" s="37">
        <v>105</v>
      </c>
      <c r="E44" s="37">
        <v>51</v>
      </c>
      <c r="F44" s="37">
        <v>54</v>
      </c>
      <c r="G44" s="14">
        <f t="shared" si="0"/>
        <v>1.2792397660818713E-2</v>
      </c>
      <c r="H44" s="14">
        <f t="shared" si="1"/>
        <v>0.48571428571428571</v>
      </c>
      <c r="I44" s="14">
        <f t="shared" si="2"/>
        <v>0.51428571428571423</v>
      </c>
      <c r="J44" s="15">
        <v>65</v>
      </c>
      <c r="K44" s="15">
        <v>38</v>
      </c>
      <c r="L44" s="15">
        <v>27</v>
      </c>
      <c r="M44" s="16" t="s">
        <v>33</v>
      </c>
      <c r="N44" s="39">
        <v>8208</v>
      </c>
      <c r="O44" s="18">
        <f t="shared" si="3"/>
        <v>7.9191033138401555E-3</v>
      </c>
      <c r="P44" s="19">
        <f t="shared" si="4"/>
        <v>0.58461538461538465</v>
      </c>
      <c r="Q44" s="20">
        <f t="shared" si="5"/>
        <v>0.41538461538461541</v>
      </c>
      <c r="R44" s="21">
        <v>5</v>
      </c>
      <c r="S44" s="21">
        <v>1</v>
      </c>
      <c r="T44" s="21">
        <v>0</v>
      </c>
      <c r="U44" s="21">
        <v>1</v>
      </c>
      <c r="V44" s="21">
        <v>4</v>
      </c>
      <c r="W44" s="21">
        <v>1</v>
      </c>
      <c r="X44" s="21">
        <v>15</v>
      </c>
      <c r="Y44" s="21">
        <v>12</v>
      </c>
      <c r="Z44" s="23" t="s">
        <v>51</v>
      </c>
      <c r="AA44" s="31"/>
      <c r="AB44" s="31"/>
      <c r="AC44" s="31"/>
      <c r="AD44" s="31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</row>
    <row r="45" spans="1:45" ht="24.95" customHeight="1">
      <c r="A45" s="85"/>
      <c r="B45" s="10">
        <v>40</v>
      </c>
      <c r="C45" s="11" t="s">
        <v>112</v>
      </c>
      <c r="D45" s="37">
        <v>468</v>
      </c>
      <c r="E45" s="37">
        <v>244</v>
      </c>
      <c r="F45" s="37">
        <v>224</v>
      </c>
      <c r="G45" s="14">
        <f t="shared" si="0"/>
        <v>1.5735323784547107E-2</v>
      </c>
      <c r="H45" s="14">
        <f t="shared" si="1"/>
        <v>0.5213675213675214</v>
      </c>
      <c r="I45" s="14">
        <f t="shared" si="2"/>
        <v>0.47863247863247865</v>
      </c>
      <c r="J45" s="15">
        <v>160</v>
      </c>
      <c r="K45" s="15">
        <v>83</v>
      </c>
      <c r="L45" s="15">
        <v>77</v>
      </c>
      <c r="M45" s="16" t="s">
        <v>33</v>
      </c>
      <c r="N45" s="15">
        <v>29742</v>
      </c>
      <c r="O45" s="18">
        <f t="shared" si="3"/>
        <v>5.3795978750588395E-3</v>
      </c>
      <c r="P45" s="19">
        <f t="shared" si="4"/>
        <v>0.51875000000000004</v>
      </c>
      <c r="Q45" s="20">
        <f t="shared" si="5"/>
        <v>0.48125000000000001</v>
      </c>
      <c r="R45" s="21">
        <v>8</v>
      </c>
      <c r="S45" s="21">
        <v>0</v>
      </c>
      <c r="T45" s="21">
        <v>0</v>
      </c>
      <c r="U45" s="21">
        <v>1</v>
      </c>
      <c r="V45" s="21">
        <v>6</v>
      </c>
      <c r="W45" s="21">
        <v>1</v>
      </c>
      <c r="X45" s="21">
        <v>17</v>
      </c>
      <c r="Y45" s="21">
        <v>11</v>
      </c>
      <c r="Z45" s="23" t="s">
        <v>113</v>
      </c>
      <c r="AA45" s="31"/>
      <c r="AB45" s="31"/>
      <c r="AC45" s="31"/>
      <c r="AD45" s="31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</row>
    <row r="46" spans="1:45" ht="24.95" customHeight="1">
      <c r="A46" s="85"/>
      <c r="B46" s="10">
        <v>41</v>
      </c>
      <c r="C46" s="11" t="s">
        <v>114</v>
      </c>
      <c r="D46" s="37">
        <v>463</v>
      </c>
      <c r="E46" s="37">
        <v>235</v>
      </c>
      <c r="F46" s="37">
        <v>228</v>
      </c>
      <c r="G46" s="14">
        <f t="shared" si="0"/>
        <v>1.3144820145927378E-2</v>
      </c>
      <c r="H46" s="14">
        <f t="shared" si="1"/>
        <v>0.50755939524838012</v>
      </c>
      <c r="I46" s="14">
        <f t="shared" si="2"/>
        <v>0.49244060475161988</v>
      </c>
      <c r="J46" s="15">
        <v>174</v>
      </c>
      <c r="K46" s="15">
        <v>90</v>
      </c>
      <c r="L46" s="15">
        <v>84</v>
      </c>
      <c r="M46" s="16" t="s">
        <v>33</v>
      </c>
      <c r="N46" s="39">
        <v>35223</v>
      </c>
      <c r="O46" s="18">
        <f t="shared" si="3"/>
        <v>4.9399540073247596E-3</v>
      </c>
      <c r="P46" s="19">
        <f t="shared" si="4"/>
        <v>0.51724137931034486</v>
      </c>
      <c r="Q46" s="20">
        <f t="shared" si="5"/>
        <v>0.48275862068965519</v>
      </c>
      <c r="R46" s="21">
        <v>8</v>
      </c>
      <c r="S46" s="21">
        <v>0</v>
      </c>
      <c r="T46" s="21">
        <v>0</v>
      </c>
      <c r="U46" s="21">
        <v>0</v>
      </c>
      <c r="V46" s="21">
        <v>7</v>
      </c>
      <c r="W46" s="21">
        <v>1</v>
      </c>
      <c r="X46" s="21">
        <v>16</v>
      </c>
      <c r="Y46" s="21">
        <v>7</v>
      </c>
      <c r="Z46" s="23" t="s">
        <v>115</v>
      </c>
      <c r="AA46" s="31"/>
      <c r="AB46" s="31"/>
      <c r="AC46" s="31"/>
      <c r="AD46" s="31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</row>
    <row r="47" spans="1:45" ht="24.95" customHeight="1">
      <c r="A47" s="85"/>
      <c r="B47" s="10">
        <v>42</v>
      </c>
      <c r="C47" s="11" t="s">
        <v>116</v>
      </c>
      <c r="D47" s="37">
        <v>963</v>
      </c>
      <c r="E47" s="37">
        <v>510</v>
      </c>
      <c r="F47" s="37">
        <v>453</v>
      </c>
      <c r="G47" s="14">
        <f t="shared" si="0"/>
        <v>9.2968923471998307E-3</v>
      </c>
      <c r="H47" s="14">
        <f t="shared" si="1"/>
        <v>0.52959501557632394</v>
      </c>
      <c r="I47" s="14">
        <f t="shared" si="2"/>
        <v>0.47040498442367601</v>
      </c>
      <c r="J47" s="15">
        <v>664</v>
      </c>
      <c r="K47" s="15">
        <v>307</v>
      </c>
      <c r="L47" s="15">
        <v>357</v>
      </c>
      <c r="M47" s="16" t="s">
        <v>33</v>
      </c>
      <c r="N47" s="39">
        <v>103583</v>
      </c>
      <c r="O47" s="18">
        <f t="shared" si="3"/>
        <v>6.4103182954731953E-3</v>
      </c>
      <c r="P47" s="19">
        <f t="shared" si="4"/>
        <v>0.46234939759036142</v>
      </c>
      <c r="Q47" s="20">
        <f t="shared" si="5"/>
        <v>0.53765060240963858</v>
      </c>
      <c r="R47" s="21">
        <v>12</v>
      </c>
      <c r="S47" s="21">
        <v>3</v>
      </c>
      <c r="T47" s="21">
        <v>0</v>
      </c>
      <c r="U47" s="21">
        <v>6</v>
      </c>
      <c r="V47" s="21">
        <v>8</v>
      </c>
      <c r="W47" s="21">
        <v>1</v>
      </c>
      <c r="X47" s="21">
        <v>309</v>
      </c>
      <c r="Y47" s="21">
        <v>18</v>
      </c>
      <c r="Z47" s="23" t="s">
        <v>117</v>
      </c>
      <c r="AA47" s="31"/>
      <c r="AB47" s="31"/>
      <c r="AC47" s="31"/>
      <c r="AD47" s="31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</row>
    <row r="48" spans="1:45" ht="24.95" customHeight="1">
      <c r="A48" s="85"/>
      <c r="B48" s="10">
        <v>43</v>
      </c>
      <c r="C48" s="11" t="s">
        <v>118</v>
      </c>
      <c r="D48" s="37">
        <v>581</v>
      </c>
      <c r="E48" s="37">
        <v>289</v>
      </c>
      <c r="F48" s="37">
        <v>292</v>
      </c>
      <c r="G48" s="14">
        <f t="shared" si="0"/>
        <v>1.0454152871743198E-2</v>
      </c>
      <c r="H48" s="14">
        <f t="shared" si="1"/>
        <v>0.4974182444061962</v>
      </c>
      <c r="I48" s="14">
        <f t="shared" si="2"/>
        <v>0.5025817555938038</v>
      </c>
      <c r="J48" s="15">
        <v>393</v>
      </c>
      <c r="K48" s="15">
        <v>202</v>
      </c>
      <c r="L48" s="15">
        <v>190</v>
      </c>
      <c r="M48" s="16" t="s">
        <v>33</v>
      </c>
      <c r="N48" s="39">
        <v>55576</v>
      </c>
      <c r="O48" s="18">
        <f t="shared" si="3"/>
        <v>7.0713977256369655E-3</v>
      </c>
      <c r="P48" s="19">
        <f t="shared" si="4"/>
        <v>0.51399491094147587</v>
      </c>
      <c r="Q48" s="20">
        <f t="shared" si="5"/>
        <v>0.48346055979643765</v>
      </c>
      <c r="R48" s="21">
        <v>20</v>
      </c>
      <c r="S48" s="21">
        <v>1</v>
      </c>
      <c r="T48" s="21">
        <v>0</v>
      </c>
      <c r="U48" s="21">
        <v>4</v>
      </c>
      <c r="V48" s="21">
        <v>16</v>
      </c>
      <c r="W48" s="21">
        <v>1</v>
      </c>
      <c r="X48" s="21">
        <v>110</v>
      </c>
      <c r="Y48" s="21">
        <v>43</v>
      </c>
      <c r="Z48" s="23" t="s">
        <v>119</v>
      </c>
      <c r="AA48" s="31"/>
      <c r="AB48" s="31"/>
      <c r="AC48" s="31"/>
      <c r="AD48" s="31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</row>
    <row r="49" spans="1:45" ht="24.95" customHeight="1">
      <c r="A49" s="86"/>
      <c r="B49" s="10">
        <v>44</v>
      </c>
      <c r="C49" s="11" t="s">
        <v>120</v>
      </c>
      <c r="D49" s="37">
        <v>100</v>
      </c>
      <c r="E49" s="37">
        <v>52</v>
      </c>
      <c r="F49" s="37">
        <v>48</v>
      </c>
      <c r="G49" s="14">
        <f t="shared" si="0"/>
        <v>1.2616704516780217E-2</v>
      </c>
      <c r="H49" s="14">
        <f t="shared" si="1"/>
        <v>0.52</v>
      </c>
      <c r="I49" s="14">
        <f t="shared" si="2"/>
        <v>0.48</v>
      </c>
      <c r="J49" s="15">
        <v>69</v>
      </c>
      <c r="K49" s="15">
        <v>41</v>
      </c>
      <c r="L49" s="15">
        <v>28</v>
      </c>
      <c r="M49" s="16" t="s">
        <v>33</v>
      </c>
      <c r="N49" s="39">
        <v>7926</v>
      </c>
      <c r="O49" s="18">
        <f t="shared" si="3"/>
        <v>8.7055261165783493E-3</v>
      </c>
      <c r="P49" s="19">
        <f t="shared" si="4"/>
        <v>0.59420289855072461</v>
      </c>
      <c r="Q49" s="20">
        <f t="shared" si="5"/>
        <v>0.40579710144927539</v>
      </c>
      <c r="R49" s="21">
        <v>4</v>
      </c>
      <c r="S49" s="21">
        <v>0</v>
      </c>
      <c r="T49" s="21">
        <v>0</v>
      </c>
      <c r="U49" s="21">
        <v>0</v>
      </c>
      <c r="V49" s="21">
        <v>4</v>
      </c>
      <c r="W49" s="21">
        <v>0</v>
      </c>
      <c r="X49" s="21">
        <v>4</v>
      </c>
      <c r="Y49" s="21">
        <v>0</v>
      </c>
      <c r="Z49" s="23" t="s">
        <v>121</v>
      </c>
      <c r="AA49" s="31"/>
      <c r="AB49" s="31"/>
      <c r="AC49" s="31"/>
      <c r="AD49" s="31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</row>
    <row r="50" spans="1:45" ht="24.95" customHeight="1">
      <c r="A50" s="84" t="s">
        <v>122</v>
      </c>
      <c r="B50" s="10">
        <v>45</v>
      </c>
      <c r="C50" s="11" t="s">
        <v>123</v>
      </c>
      <c r="D50" s="37">
        <v>118</v>
      </c>
      <c r="E50" s="37">
        <v>65</v>
      </c>
      <c r="F50" s="37">
        <v>53</v>
      </c>
      <c r="G50" s="14">
        <f t="shared" si="0"/>
        <v>1.1995527091592965E-2</v>
      </c>
      <c r="H50" s="14">
        <f t="shared" si="1"/>
        <v>0.55084745762711862</v>
      </c>
      <c r="I50" s="14">
        <f t="shared" si="2"/>
        <v>0.44915254237288138</v>
      </c>
      <c r="J50" s="15">
        <v>82</v>
      </c>
      <c r="K50" s="15">
        <v>51</v>
      </c>
      <c r="L50" s="15">
        <v>31</v>
      </c>
      <c r="M50" s="16" t="s">
        <v>33</v>
      </c>
      <c r="N50" s="39">
        <v>9837</v>
      </c>
      <c r="O50" s="18">
        <f t="shared" si="3"/>
        <v>8.3358747585646036E-3</v>
      </c>
      <c r="P50" s="19">
        <f t="shared" si="4"/>
        <v>0.62195121951219512</v>
      </c>
      <c r="Q50" s="20">
        <f t="shared" si="5"/>
        <v>0.37804878048780488</v>
      </c>
      <c r="R50" s="21">
        <v>6</v>
      </c>
      <c r="S50" s="21">
        <v>0</v>
      </c>
      <c r="T50" s="21">
        <v>0</v>
      </c>
      <c r="U50" s="21">
        <v>0</v>
      </c>
      <c r="V50" s="21">
        <v>5</v>
      </c>
      <c r="W50" s="21">
        <v>1</v>
      </c>
      <c r="X50" s="21">
        <v>10</v>
      </c>
      <c r="Y50" s="21">
        <v>7</v>
      </c>
      <c r="Z50" s="23" t="s">
        <v>60</v>
      </c>
      <c r="AA50" s="31"/>
      <c r="AB50" s="31"/>
      <c r="AC50" s="31"/>
      <c r="AD50" s="31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</row>
    <row r="51" spans="1:45" ht="24.95" customHeight="1">
      <c r="A51" s="85"/>
      <c r="B51" s="10">
        <v>46</v>
      </c>
      <c r="C51" s="41" t="s">
        <v>124</v>
      </c>
      <c r="D51" s="37">
        <v>284</v>
      </c>
      <c r="E51" s="37">
        <v>148</v>
      </c>
      <c r="F51" s="37">
        <v>136</v>
      </c>
      <c r="G51" s="14">
        <f t="shared" si="0"/>
        <v>1.1216872704293218E-2</v>
      </c>
      <c r="H51" s="14">
        <f t="shared" si="1"/>
        <v>0.52112676056338025</v>
      </c>
      <c r="I51" s="14">
        <f t="shared" si="2"/>
        <v>0.47887323943661969</v>
      </c>
      <c r="J51" s="15">
        <v>212</v>
      </c>
      <c r="K51" s="15">
        <v>110</v>
      </c>
      <c r="L51" s="15">
        <v>102</v>
      </c>
      <c r="M51" s="16" t="s">
        <v>33</v>
      </c>
      <c r="N51" s="42">
        <v>25319</v>
      </c>
      <c r="O51" s="18">
        <f t="shared" si="3"/>
        <v>8.3731584975709934E-3</v>
      </c>
      <c r="P51" s="19">
        <f t="shared" si="4"/>
        <v>0.51886792452830188</v>
      </c>
      <c r="Q51" s="20">
        <f t="shared" si="5"/>
        <v>0.48113207547169812</v>
      </c>
      <c r="R51" s="21">
        <v>21</v>
      </c>
      <c r="S51" s="21">
        <v>1</v>
      </c>
      <c r="T51" s="21">
        <v>0</v>
      </c>
      <c r="U51" s="21">
        <v>0</v>
      </c>
      <c r="V51" s="21">
        <v>21</v>
      </c>
      <c r="W51" s="21">
        <v>1</v>
      </c>
      <c r="X51" s="21">
        <v>50</v>
      </c>
      <c r="Y51" s="21">
        <v>17</v>
      </c>
      <c r="Z51" s="23" t="s">
        <v>58</v>
      </c>
      <c r="AA51" s="31"/>
      <c r="AB51" s="31"/>
      <c r="AC51" s="31"/>
      <c r="AD51" s="31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</row>
    <row r="52" spans="1:45" ht="24.95" customHeight="1">
      <c r="A52" s="86"/>
      <c r="B52" s="10">
        <v>47</v>
      </c>
      <c r="C52" s="11" t="s">
        <v>125</v>
      </c>
      <c r="D52" s="37">
        <v>278</v>
      </c>
      <c r="E52" s="37">
        <v>155</v>
      </c>
      <c r="F52" s="37">
        <v>123</v>
      </c>
      <c r="G52" s="14">
        <f t="shared" si="0"/>
        <v>1.0214579659024104E-2</v>
      </c>
      <c r="H52" s="14">
        <f t="shared" si="1"/>
        <v>0.55755395683453235</v>
      </c>
      <c r="I52" s="14">
        <f t="shared" si="2"/>
        <v>0.44244604316546765</v>
      </c>
      <c r="J52" s="15">
        <v>214</v>
      </c>
      <c r="K52" s="15">
        <v>117</v>
      </c>
      <c r="L52" s="15">
        <v>97</v>
      </c>
      <c r="M52" s="16" t="s">
        <v>33</v>
      </c>
      <c r="N52" s="39">
        <v>27216</v>
      </c>
      <c r="O52" s="18">
        <f t="shared" si="3"/>
        <v>7.8630217519106409E-3</v>
      </c>
      <c r="P52" s="19">
        <f t="shared" si="4"/>
        <v>0.54672897196261683</v>
      </c>
      <c r="Q52" s="20">
        <f t="shared" si="5"/>
        <v>0.45327102803738317</v>
      </c>
      <c r="R52" s="21">
        <v>13</v>
      </c>
      <c r="S52" s="21">
        <v>1</v>
      </c>
      <c r="T52" s="21">
        <v>0</v>
      </c>
      <c r="U52" s="21">
        <v>2</v>
      </c>
      <c r="V52" s="21">
        <v>11</v>
      </c>
      <c r="W52" s="21">
        <v>1</v>
      </c>
      <c r="X52" s="21">
        <v>38</v>
      </c>
      <c r="Y52" s="21">
        <v>24</v>
      </c>
      <c r="Z52" s="23" t="s">
        <v>126</v>
      </c>
      <c r="AA52" s="31"/>
      <c r="AB52" s="31"/>
      <c r="AC52" s="31"/>
      <c r="AD52" s="31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</row>
    <row r="53" spans="1:45" ht="24.95" customHeight="1">
      <c r="A53" s="43" t="s">
        <v>127</v>
      </c>
      <c r="B53" s="10">
        <v>48</v>
      </c>
      <c r="C53" s="11" t="s">
        <v>128</v>
      </c>
      <c r="D53" s="37">
        <v>468</v>
      </c>
      <c r="E53" s="37">
        <v>231</v>
      </c>
      <c r="F53" s="37">
        <v>237</v>
      </c>
      <c r="G53" s="14">
        <f t="shared" si="0"/>
        <v>1.7379679144385027E-2</v>
      </c>
      <c r="H53" s="14">
        <f t="shared" si="1"/>
        <v>0.49358974358974361</v>
      </c>
      <c r="I53" s="14">
        <f t="shared" si="2"/>
        <v>0.50641025641025639</v>
      </c>
      <c r="J53" s="15">
        <v>161</v>
      </c>
      <c r="K53" s="15">
        <v>82</v>
      </c>
      <c r="L53" s="15">
        <v>79</v>
      </c>
      <c r="M53" s="16" t="s">
        <v>33</v>
      </c>
      <c r="N53" s="39">
        <v>26928</v>
      </c>
      <c r="O53" s="18">
        <f t="shared" si="3"/>
        <v>5.9789067142008321E-3</v>
      </c>
      <c r="P53" s="19">
        <f t="shared" si="4"/>
        <v>0.50931677018633537</v>
      </c>
      <c r="Q53" s="20">
        <f t="shared" si="5"/>
        <v>0.49068322981366458</v>
      </c>
      <c r="R53" s="21">
        <v>8</v>
      </c>
      <c r="S53" s="21">
        <v>0</v>
      </c>
      <c r="T53" s="21">
        <v>0</v>
      </c>
      <c r="U53" s="21">
        <v>0</v>
      </c>
      <c r="V53" s="21">
        <v>8</v>
      </c>
      <c r="W53" s="21">
        <v>0</v>
      </c>
      <c r="X53" s="21">
        <v>10</v>
      </c>
      <c r="Y53" s="21">
        <v>18</v>
      </c>
      <c r="Z53" s="23" t="s">
        <v>129</v>
      </c>
      <c r="AA53" s="31"/>
      <c r="AB53" s="31"/>
      <c r="AC53" s="31"/>
      <c r="AD53" s="31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</row>
    <row r="54" spans="1:45" ht="24.95" customHeight="1">
      <c r="A54" s="43" t="s">
        <v>130</v>
      </c>
      <c r="B54" s="10">
        <v>49</v>
      </c>
      <c r="C54" s="11" t="s">
        <v>131</v>
      </c>
      <c r="D54" s="37">
        <v>775</v>
      </c>
      <c r="E54" s="37">
        <v>417</v>
      </c>
      <c r="F54" s="37">
        <v>358</v>
      </c>
      <c r="G54" s="14">
        <f t="shared" si="0"/>
        <v>1.4153441569114451E-2</v>
      </c>
      <c r="H54" s="14">
        <f t="shared" si="1"/>
        <v>0.53806451612903228</v>
      </c>
      <c r="I54" s="14">
        <f t="shared" si="2"/>
        <v>0.46193548387096772</v>
      </c>
      <c r="J54" s="15">
        <v>336</v>
      </c>
      <c r="K54" s="15">
        <v>187</v>
      </c>
      <c r="L54" s="15">
        <v>148</v>
      </c>
      <c r="M54" s="44">
        <v>1</v>
      </c>
      <c r="N54" s="39">
        <v>54757</v>
      </c>
      <c r="O54" s="18">
        <f t="shared" si="3"/>
        <v>6.1362017641580068E-3</v>
      </c>
      <c r="P54" s="19">
        <f t="shared" si="4"/>
        <v>0.55654761904761907</v>
      </c>
      <c r="Q54" s="20">
        <f t="shared" si="5"/>
        <v>0.44047619047619047</v>
      </c>
      <c r="R54" s="21">
        <v>7</v>
      </c>
      <c r="S54" s="21">
        <v>1</v>
      </c>
      <c r="T54" s="21">
        <v>0</v>
      </c>
      <c r="U54" s="21">
        <v>1</v>
      </c>
      <c r="V54" s="21">
        <v>6</v>
      </c>
      <c r="W54" s="21">
        <v>1</v>
      </c>
      <c r="X54" s="21">
        <v>35</v>
      </c>
      <c r="Y54" s="21">
        <v>12</v>
      </c>
      <c r="Z54" s="23" t="s">
        <v>132</v>
      </c>
      <c r="AA54" s="31"/>
      <c r="AB54" s="31"/>
      <c r="AC54" s="31"/>
      <c r="AD54" s="31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</row>
    <row r="55" spans="1:45" ht="24.95" customHeight="1">
      <c r="A55" s="84" t="s">
        <v>133</v>
      </c>
      <c r="B55" s="10">
        <v>50</v>
      </c>
      <c r="C55" s="11" t="s">
        <v>134</v>
      </c>
      <c r="D55" s="37">
        <v>93</v>
      </c>
      <c r="E55" s="37">
        <v>53</v>
      </c>
      <c r="F55" s="37">
        <v>40</v>
      </c>
      <c r="G55" s="14">
        <f t="shared" si="0"/>
        <v>1.5661839003031322E-2</v>
      </c>
      <c r="H55" s="14">
        <f t="shared" si="1"/>
        <v>0.56989247311827962</v>
      </c>
      <c r="I55" s="14">
        <f t="shared" si="2"/>
        <v>0.43010752688172044</v>
      </c>
      <c r="J55" s="15">
        <v>32</v>
      </c>
      <c r="K55" s="15">
        <v>19</v>
      </c>
      <c r="L55" s="15">
        <v>13</v>
      </c>
      <c r="M55" s="44" t="s">
        <v>33</v>
      </c>
      <c r="N55" s="39">
        <v>5938</v>
      </c>
      <c r="O55" s="18">
        <f t="shared" si="3"/>
        <v>5.3890198720107779E-3</v>
      </c>
      <c r="P55" s="19">
        <f t="shared" si="4"/>
        <v>0.59375</v>
      </c>
      <c r="Q55" s="20">
        <f t="shared" si="5"/>
        <v>0.40625</v>
      </c>
      <c r="R55" s="21">
        <v>1</v>
      </c>
      <c r="S55" s="21">
        <v>0</v>
      </c>
      <c r="T55" s="21">
        <v>0</v>
      </c>
      <c r="U55" s="21">
        <v>0</v>
      </c>
      <c r="V55" s="21">
        <v>1</v>
      </c>
      <c r="W55" s="21">
        <v>0</v>
      </c>
      <c r="X55" s="21">
        <v>4</v>
      </c>
      <c r="Y55" s="21">
        <v>2</v>
      </c>
      <c r="Z55" s="23" t="s">
        <v>135</v>
      </c>
      <c r="AA55" s="31"/>
      <c r="AB55" s="31"/>
      <c r="AC55" s="31"/>
      <c r="AD55" s="31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</row>
    <row r="56" spans="1:45" ht="24.95" customHeight="1">
      <c r="A56" s="85"/>
      <c r="B56" s="10">
        <v>51</v>
      </c>
      <c r="C56" s="11" t="s">
        <v>136</v>
      </c>
      <c r="D56" s="37">
        <v>178</v>
      </c>
      <c r="E56" s="37">
        <v>99</v>
      </c>
      <c r="F56" s="37">
        <v>79</v>
      </c>
      <c r="G56" s="14">
        <f t="shared" si="0"/>
        <v>1.2697959766015123E-2</v>
      </c>
      <c r="H56" s="14">
        <f t="shared" si="1"/>
        <v>0.5561797752808989</v>
      </c>
      <c r="I56" s="14">
        <f t="shared" si="2"/>
        <v>0.4438202247191011</v>
      </c>
      <c r="J56" s="15">
        <v>98</v>
      </c>
      <c r="K56" s="15">
        <v>51</v>
      </c>
      <c r="L56" s="15">
        <v>47</v>
      </c>
      <c r="M56" s="44" t="s">
        <v>33</v>
      </c>
      <c r="N56" s="24">
        <v>14018</v>
      </c>
      <c r="O56" s="18">
        <f t="shared" si="3"/>
        <v>6.9910115565701243E-3</v>
      </c>
      <c r="P56" s="19">
        <f t="shared" si="4"/>
        <v>0.52040816326530615</v>
      </c>
      <c r="Q56" s="20">
        <f t="shared" si="5"/>
        <v>0.47959183673469385</v>
      </c>
      <c r="R56" s="21">
        <v>5</v>
      </c>
      <c r="S56" s="21">
        <v>0</v>
      </c>
      <c r="T56" s="21">
        <v>0</v>
      </c>
      <c r="U56" s="21">
        <v>0</v>
      </c>
      <c r="V56" s="21">
        <v>4</v>
      </c>
      <c r="W56" s="21">
        <v>1</v>
      </c>
      <c r="X56" s="21">
        <v>7</v>
      </c>
      <c r="Y56" s="21">
        <v>2</v>
      </c>
      <c r="Z56" s="23" t="s">
        <v>137</v>
      </c>
      <c r="AA56" s="31"/>
      <c r="AB56" s="31"/>
      <c r="AC56" s="31"/>
      <c r="AD56" s="31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</row>
    <row r="57" spans="1:45" ht="24.95" customHeight="1">
      <c r="A57" s="85"/>
      <c r="B57" s="10">
        <v>52</v>
      </c>
      <c r="C57" s="11" t="s">
        <v>138</v>
      </c>
      <c r="D57" s="37">
        <v>212</v>
      </c>
      <c r="E57" s="37">
        <v>116</v>
      </c>
      <c r="F57" s="37">
        <v>96</v>
      </c>
      <c r="G57" s="14">
        <f t="shared" si="0"/>
        <v>1.3288203585307759E-2</v>
      </c>
      <c r="H57" s="14">
        <f t="shared" si="1"/>
        <v>0.54716981132075471</v>
      </c>
      <c r="I57" s="14">
        <f t="shared" si="2"/>
        <v>0.45283018867924529</v>
      </c>
      <c r="J57" s="15">
        <v>143</v>
      </c>
      <c r="K57" s="15">
        <v>81</v>
      </c>
      <c r="L57" s="15">
        <v>62</v>
      </c>
      <c r="M57" s="44" t="s">
        <v>33</v>
      </c>
      <c r="N57" s="25">
        <v>15954</v>
      </c>
      <c r="O57" s="18">
        <f t="shared" si="3"/>
        <v>8.9632693995236306E-3</v>
      </c>
      <c r="P57" s="19">
        <f t="shared" si="4"/>
        <v>0.56643356643356646</v>
      </c>
      <c r="Q57" s="20">
        <f t="shared" si="5"/>
        <v>0.43356643356643354</v>
      </c>
      <c r="R57" s="21">
        <v>4</v>
      </c>
      <c r="S57" s="21">
        <v>0</v>
      </c>
      <c r="T57" s="21">
        <v>0</v>
      </c>
      <c r="U57" s="21">
        <v>0</v>
      </c>
      <c r="V57" s="21">
        <v>3</v>
      </c>
      <c r="W57" s="21">
        <v>1</v>
      </c>
      <c r="X57" s="21">
        <v>8</v>
      </c>
      <c r="Y57" s="21">
        <v>0</v>
      </c>
      <c r="Z57" s="23" t="s">
        <v>139</v>
      </c>
      <c r="AA57" s="31"/>
      <c r="AB57" s="31"/>
      <c r="AC57" s="31"/>
      <c r="AD57" s="31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</row>
    <row r="58" spans="1:45" ht="24.95" customHeight="1">
      <c r="A58" s="85"/>
      <c r="B58" s="10">
        <v>53</v>
      </c>
      <c r="C58" s="11" t="s">
        <v>140</v>
      </c>
      <c r="D58" s="37">
        <v>258</v>
      </c>
      <c r="E58" s="37">
        <v>129</v>
      </c>
      <c r="F58" s="37">
        <v>129</v>
      </c>
      <c r="G58" s="14">
        <f t="shared" si="0"/>
        <v>1.2492131893671621E-2</v>
      </c>
      <c r="H58" s="14">
        <f t="shared" si="1"/>
        <v>0.5</v>
      </c>
      <c r="I58" s="14">
        <f t="shared" si="2"/>
        <v>0.5</v>
      </c>
      <c r="J58" s="15">
        <v>161</v>
      </c>
      <c r="K58" s="15">
        <v>83</v>
      </c>
      <c r="L58" s="15">
        <v>78</v>
      </c>
      <c r="M58" s="44" t="s">
        <v>33</v>
      </c>
      <c r="N58" s="25">
        <v>20653</v>
      </c>
      <c r="O58" s="18">
        <f t="shared" si="3"/>
        <v>7.7954776545780275E-3</v>
      </c>
      <c r="P58" s="19">
        <f t="shared" si="4"/>
        <v>0.51552795031055898</v>
      </c>
      <c r="Q58" s="20">
        <f t="shared" si="5"/>
        <v>0.48447204968944102</v>
      </c>
      <c r="R58" s="21">
        <v>9</v>
      </c>
      <c r="S58" s="21">
        <v>1</v>
      </c>
      <c r="T58" s="21">
        <v>0</v>
      </c>
      <c r="U58" s="21">
        <v>2</v>
      </c>
      <c r="V58" s="21">
        <v>7</v>
      </c>
      <c r="W58" s="21">
        <v>1</v>
      </c>
      <c r="X58" s="21">
        <v>43</v>
      </c>
      <c r="Y58" s="21">
        <v>9</v>
      </c>
      <c r="Z58" s="23" t="s">
        <v>49</v>
      </c>
      <c r="AA58" s="31"/>
      <c r="AB58" s="31"/>
      <c r="AC58" s="31"/>
      <c r="AD58" s="31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</row>
    <row r="59" spans="1:45" ht="24.95" customHeight="1">
      <c r="A59" s="85"/>
      <c r="B59" s="10">
        <v>54</v>
      </c>
      <c r="C59" s="11" t="s">
        <v>141</v>
      </c>
      <c r="D59" s="37">
        <v>351</v>
      </c>
      <c r="E59" s="37">
        <v>167</v>
      </c>
      <c r="F59" s="37">
        <v>184</v>
      </c>
      <c r="G59" s="14">
        <f t="shared" si="0"/>
        <v>1.5511069866101021E-2</v>
      </c>
      <c r="H59" s="14">
        <f t="shared" si="1"/>
        <v>0.4757834757834758</v>
      </c>
      <c r="I59" s="14">
        <f t="shared" si="2"/>
        <v>0.5242165242165242</v>
      </c>
      <c r="J59" s="15">
        <v>145</v>
      </c>
      <c r="K59" s="15">
        <v>74</v>
      </c>
      <c r="L59" s="15">
        <v>71</v>
      </c>
      <c r="M59" s="44" t="s">
        <v>33</v>
      </c>
      <c r="N59" s="25">
        <v>22629</v>
      </c>
      <c r="O59" s="18">
        <f t="shared" si="3"/>
        <v>6.4077069247425872E-3</v>
      </c>
      <c r="P59" s="19">
        <f t="shared" si="4"/>
        <v>0.51034482758620692</v>
      </c>
      <c r="Q59" s="20">
        <f t="shared" si="5"/>
        <v>0.48965517241379308</v>
      </c>
      <c r="R59" s="21">
        <v>3</v>
      </c>
      <c r="S59" s="21">
        <v>0</v>
      </c>
      <c r="T59" s="21">
        <v>0</v>
      </c>
      <c r="U59" s="21">
        <v>0</v>
      </c>
      <c r="V59" s="21">
        <v>2</v>
      </c>
      <c r="W59" s="21">
        <v>1</v>
      </c>
      <c r="X59" s="21">
        <v>7</v>
      </c>
      <c r="Y59" s="21">
        <v>0</v>
      </c>
      <c r="Z59" s="23" t="s">
        <v>142</v>
      </c>
      <c r="AA59" s="31"/>
      <c r="AB59" s="31"/>
      <c r="AC59" s="31"/>
      <c r="AD59" s="31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</row>
    <row r="60" spans="1:45" ht="24.95" customHeight="1">
      <c r="A60" s="85"/>
      <c r="B60" s="10">
        <v>55</v>
      </c>
      <c r="C60" s="11" t="s">
        <v>143</v>
      </c>
      <c r="D60" s="40">
        <v>2903</v>
      </c>
      <c r="E60" s="40">
        <v>1447</v>
      </c>
      <c r="F60" s="40">
        <v>1456</v>
      </c>
      <c r="G60" s="14">
        <f t="shared" si="0"/>
        <v>8.8692134721611183E-3</v>
      </c>
      <c r="H60" s="14">
        <f t="shared" si="1"/>
        <v>0.49844987943506719</v>
      </c>
      <c r="I60" s="14">
        <f t="shared" si="2"/>
        <v>0.50155012056493287</v>
      </c>
      <c r="J60" s="15">
        <v>1789</v>
      </c>
      <c r="K60" s="15">
        <v>955</v>
      </c>
      <c r="L60" s="15">
        <v>834</v>
      </c>
      <c r="M60" s="44" t="s">
        <v>33</v>
      </c>
      <c r="N60" s="45">
        <v>327312</v>
      </c>
      <c r="O60" s="18">
        <f t="shared" si="3"/>
        <v>5.4657330009287774E-3</v>
      </c>
      <c r="P60" s="19">
        <f t="shared" si="4"/>
        <v>0.53381777529346008</v>
      </c>
      <c r="Q60" s="20">
        <f t="shared" si="5"/>
        <v>0.46618222470653997</v>
      </c>
      <c r="R60" s="21">
        <v>19</v>
      </c>
      <c r="S60" s="21">
        <v>3</v>
      </c>
      <c r="T60" s="21">
        <v>1</v>
      </c>
      <c r="U60" s="21">
        <v>6</v>
      </c>
      <c r="V60" s="21">
        <v>16</v>
      </c>
      <c r="W60" s="21">
        <v>1</v>
      </c>
      <c r="X60" s="21">
        <v>641</v>
      </c>
      <c r="Y60" s="21">
        <v>11</v>
      </c>
      <c r="Z60" s="23" t="s">
        <v>132</v>
      </c>
      <c r="AA60" s="31"/>
      <c r="AB60" s="31"/>
      <c r="AC60" s="31"/>
      <c r="AD60" s="31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</row>
    <row r="61" spans="1:45" ht="24.95" customHeight="1">
      <c r="A61" s="85"/>
      <c r="B61" s="10">
        <v>56</v>
      </c>
      <c r="C61" s="11" t="s">
        <v>144</v>
      </c>
      <c r="D61" s="37">
        <v>210</v>
      </c>
      <c r="E61" s="37">
        <v>117</v>
      </c>
      <c r="F61" s="37">
        <v>93</v>
      </c>
      <c r="G61" s="14">
        <f t="shared" si="0"/>
        <v>1.1438531510430852E-2</v>
      </c>
      <c r="H61" s="14">
        <f t="shared" si="1"/>
        <v>0.55714285714285716</v>
      </c>
      <c r="I61" s="14">
        <f t="shared" si="2"/>
        <v>0.44285714285714284</v>
      </c>
      <c r="J61" s="15">
        <v>156</v>
      </c>
      <c r="K61" s="15">
        <v>73</v>
      </c>
      <c r="L61" s="15">
        <v>83</v>
      </c>
      <c r="M61" s="44" t="s">
        <v>33</v>
      </c>
      <c r="N61" s="25">
        <v>18359</v>
      </c>
      <c r="O61" s="18">
        <f t="shared" si="3"/>
        <v>8.4971948363200614E-3</v>
      </c>
      <c r="P61" s="19">
        <f t="shared" si="4"/>
        <v>0.46794871794871795</v>
      </c>
      <c r="Q61" s="20">
        <f t="shared" si="5"/>
        <v>0.53205128205128205</v>
      </c>
      <c r="R61" s="21">
        <v>2</v>
      </c>
      <c r="S61" s="21">
        <v>0</v>
      </c>
      <c r="T61" s="21">
        <v>0</v>
      </c>
      <c r="U61" s="21">
        <v>0</v>
      </c>
      <c r="V61" s="21">
        <v>1</v>
      </c>
      <c r="W61" s="21">
        <v>1</v>
      </c>
      <c r="X61" s="21">
        <v>7</v>
      </c>
      <c r="Y61" s="21">
        <v>0</v>
      </c>
      <c r="Z61" s="23" t="s">
        <v>44</v>
      </c>
      <c r="AA61" s="31"/>
      <c r="AB61" s="31"/>
      <c r="AC61" s="31"/>
      <c r="AD61" s="31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</row>
    <row r="62" spans="1:45" ht="24.95" customHeight="1">
      <c r="A62" s="86"/>
      <c r="B62" s="10">
        <v>57</v>
      </c>
      <c r="C62" s="41" t="s">
        <v>145</v>
      </c>
      <c r="D62" s="37">
        <v>432</v>
      </c>
      <c r="E62" s="37">
        <v>212</v>
      </c>
      <c r="F62" s="37">
        <v>220</v>
      </c>
      <c r="G62" s="14">
        <f t="shared" si="0"/>
        <v>1.4253192121152133E-2</v>
      </c>
      <c r="H62" s="14">
        <f t="shared" si="1"/>
        <v>0.49074074074074076</v>
      </c>
      <c r="I62" s="14">
        <f t="shared" si="2"/>
        <v>0.5092592592592593</v>
      </c>
      <c r="J62" s="15">
        <v>162</v>
      </c>
      <c r="K62" s="15">
        <v>91</v>
      </c>
      <c r="L62" s="15">
        <v>71</v>
      </c>
      <c r="M62" s="44" t="s">
        <v>33</v>
      </c>
      <c r="N62" s="25">
        <v>30309</v>
      </c>
      <c r="O62" s="18">
        <f t="shared" si="3"/>
        <v>5.3449470454320497E-3</v>
      </c>
      <c r="P62" s="19">
        <f t="shared" si="4"/>
        <v>0.56172839506172845</v>
      </c>
      <c r="Q62" s="20">
        <f t="shared" si="5"/>
        <v>0.43827160493827161</v>
      </c>
      <c r="R62" s="21">
        <v>2</v>
      </c>
      <c r="S62" s="21">
        <v>0</v>
      </c>
      <c r="T62" s="21">
        <v>0</v>
      </c>
      <c r="U62" s="21">
        <v>0</v>
      </c>
      <c r="V62" s="21">
        <v>1</v>
      </c>
      <c r="W62" s="21">
        <v>1</v>
      </c>
      <c r="X62" s="21">
        <v>17</v>
      </c>
      <c r="Y62" s="21">
        <v>4</v>
      </c>
      <c r="Z62" s="23" t="s">
        <v>146</v>
      </c>
      <c r="AA62" s="31"/>
      <c r="AB62" s="31"/>
      <c r="AC62" s="31"/>
      <c r="AD62" s="31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</row>
    <row r="63" spans="1:45" ht="24.95" customHeight="1">
      <c r="A63" s="84" t="s">
        <v>147</v>
      </c>
      <c r="B63" s="10">
        <v>58</v>
      </c>
      <c r="C63" s="11" t="s">
        <v>148</v>
      </c>
      <c r="D63" s="37">
        <v>203</v>
      </c>
      <c r="E63" s="37">
        <v>106</v>
      </c>
      <c r="F63" s="37">
        <v>97</v>
      </c>
      <c r="G63" s="14">
        <f t="shared" si="0"/>
        <v>1.4037756724984441E-2</v>
      </c>
      <c r="H63" s="14">
        <f t="shared" si="1"/>
        <v>0.52216748768472909</v>
      </c>
      <c r="I63" s="14">
        <f t="shared" si="2"/>
        <v>0.47783251231527096</v>
      </c>
      <c r="J63" s="15">
        <v>101</v>
      </c>
      <c r="K63" s="15">
        <v>55</v>
      </c>
      <c r="L63" s="15">
        <v>46</v>
      </c>
      <c r="M63" s="44" t="s">
        <v>33</v>
      </c>
      <c r="N63" s="25">
        <v>14461</v>
      </c>
      <c r="O63" s="18">
        <f t="shared" si="3"/>
        <v>6.9843026070119628E-3</v>
      </c>
      <c r="P63" s="19">
        <f t="shared" si="4"/>
        <v>0.54455445544554459</v>
      </c>
      <c r="Q63" s="20">
        <f t="shared" si="5"/>
        <v>0.45544554455445546</v>
      </c>
      <c r="R63" s="21">
        <v>7</v>
      </c>
      <c r="S63" s="21">
        <v>0</v>
      </c>
      <c r="T63" s="21">
        <v>0</v>
      </c>
      <c r="U63" s="21">
        <v>0</v>
      </c>
      <c r="V63" s="21">
        <v>7</v>
      </c>
      <c r="W63" s="21">
        <v>0</v>
      </c>
      <c r="X63" s="21">
        <v>8</v>
      </c>
      <c r="Y63" s="21">
        <v>11</v>
      </c>
      <c r="Z63" s="23" t="s">
        <v>149</v>
      </c>
      <c r="AA63" s="31"/>
      <c r="AB63" s="31"/>
      <c r="AC63" s="31"/>
      <c r="AD63" s="31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</row>
    <row r="64" spans="1:45" ht="24.95" customHeight="1">
      <c r="A64" s="85"/>
      <c r="B64" s="10">
        <v>59</v>
      </c>
      <c r="C64" s="11" t="s">
        <v>150</v>
      </c>
      <c r="D64" s="37">
        <v>361</v>
      </c>
      <c r="E64" s="37">
        <v>193</v>
      </c>
      <c r="F64" s="37">
        <v>168</v>
      </c>
      <c r="G64" s="14">
        <f t="shared" si="0"/>
        <v>1.7752643225965085E-2</v>
      </c>
      <c r="H64" s="14">
        <f t="shared" si="1"/>
        <v>0.53462603878116344</v>
      </c>
      <c r="I64" s="14">
        <f t="shared" si="2"/>
        <v>0.46537396121883656</v>
      </c>
      <c r="J64" s="15">
        <v>170</v>
      </c>
      <c r="K64" s="15">
        <v>88</v>
      </c>
      <c r="L64" s="15">
        <v>82</v>
      </c>
      <c r="M64" s="44" t="s">
        <v>33</v>
      </c>
      <c r="N64" s="25">
        <v>20335</v>
      </c>
      <c r="O64" s="18">
        <f t="shared" si="3"/>
        <v>8.3599704942217846E-3</v>
      </c>
      <c r="P64" s="19">
        <f t="shared" si="4"/>
        <v>0.51764705882352946</v>
      </c>
      <c r="Q64" s="20">
        <f t="shared" si="5"/>
        <v>0.4823529411764706</v>
      </c>
      <c r="R64" s="21">
        <v>8</v>
      </c>
      <c r="S64" s="21">
        <v>1</v>
      </c>
      <c r="T64" s="21">
        <v>0</v>
      </c>
      <c r="U64" s="21">
        <v>0</v>
      </c>
      <c r="V64" s="21">
        <v>9</v>
      </c>
      <c r="W64" s="21">
        <v>0</v>
      </c>
      <c r="X64" s="21">
        <v>16</v>
      </c>
      <c r="Y64" s="21">
        <v>33</v>
      </c>
      <c r="Z64" s="23" t="s">
        <v>151</v>
      </c>
      <c r="AA64" s="31"/>
      <c r="AB64" s="31"/>
      <c r="AC64" s="31"/>
      <c r="AD64" s="31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</row>
    <row r="65" spans="1:45" ht="24.95" customHeight="1">
      <c r="A65" s="85"/>
      <c r="B65" s="10">
        <v>60</v>
      </c>
      <c r="C65" s="11" t="s">
        <v>152</v>
      </c>
      <c r="D65" s="37">
        <v>315</v>
      </c>
      <c r="E65" s="37">
        <v>169</v>
      </c>
      <c r="F65" s="37">
        <v>146</v>
      </c>
      <c r="G65" s="14">
        <f t="shared" si="0"/>
        <v>1.1860386309725517E-2</v>
      </c>
      <c r="H65" s="14">
        <f t="shared" si="1"/>
        <v>0.53650793650793649</v>
      </c>
      <c r="I65" s="14">
        <f t="shared" si="2"/>
        <v>0.46349206349206351</v>
      </c>
      <c r="J65" s="15">
        <v>173</v>
      </c>
      <c r="K65" s="15">
        <v>88</v>
      </c>
      <c r="L65" s="15">
        <v>85</v>
      </c>
      <c r="M65" s="44" t="s">
        <v>33</v>
      </c>
      <c r="N65" s="25">
        <v>26559</v>
      </c>
      <c r="O65" s="18">
        <f t="shared" si="3"/>
        <v>6.5137994653413156E-3</v>
      </c>
      <c r="P65" s="19">
        <f t="shared" si="4"/>
        <v>0.50867052023121384</v>
      </c>
      <c r="Q65" s="20">
        <f t="shared" si="5"/>
        <v>0.4913294797687861</v>
      </c>
      <c r="R65" s="21">
        <v>10</v>
      </c>
      <c r="S65" s="21">
        <v>1</v>
      </c>
      <c r="T65" s="21">
        <v>0</v>
      </c>
      <c r="U65" s="21">
        <v>0</v>
      </c>
      <c r="V65" s="21">
        <v>10</v>
      </c>
      <c r="W65" s="21">
        <v>1</v>
      </c>
      <c r="X65" s="21">
        <v>32</v>
      </c>
      <c r="Y65" s="21">
        <v>8</v>
      </c>
      <c r="Z65" s="23" t="s">
        <v>153</v>
      </c>
      <c r="AA65" s="31"/>
      <c r="AB65" s="31"/>
      <c r="AC65" s="31"/>
      <c r="AD65" s="31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</row>
    <row r="66" spans="1:45" ht="24.95" customHeight="1">
      <c r="A66" s="85"/>
      <c r="B66" s="10">
        <v>61</v>
      </c>
      <c r="C66" s="11" t="s">
        <v>154</v>
      </c>
      <c r="D66" s="37">
        <v>174</v>
      </c>
      <c r="E66" s="37">
        <v>89</v>
      </c>
      <c r="F66" s="37">
        <v>85</v>
      </c>
      <c r="G66" s="14">
        <f t="shared" si="0"/>
        <v>1.1751992435499122E-2</v>
      </c>
      <c r="H66" s="14">
        <f t="shared" si="1"/>
        <v>0.5114942528735632</v>
      </c>
      <c r="I66" s="14">
        <f t="shared" si="2"/>
        <v>0.4885057471264368</v>
      </c>
      <c r="J66" s="15">
        <v>56</v>
      </c>
      <c r="K66" s="15">
        <v>30</v>
      </c>
      <c r="L66" s="15">
        <v>26</v>
      </c>
      <c r="M66" s="44" t="s">
        <v>33</v>
      </c>
      <c r="N66" s="25">
        <v>14806</v>
      </c>
      <c r="O66" s="18">
        <f t="shared" si="3"/>
        <v>3.7822504390112115E-3</v>
      </c>
      <c r="P66" s="19">
        <f t="shared" si="4"/>
        <v>0.5357142857142857</v>
      </c>
      <c r="Q66" s="20">
        <f t="shared" si="5"/>
        <v>0.4642857142857143</v>
      </c>
      <c r="R66" s="21">
        <v>6</v>
      </c>
      <c r="S66" s="21">
        <v>0</v>
      </c>
      <c r="T66" s="21">
        <v>0</v>
      </c>
      <c r="U66" s="21">
        <v>0</v>
      </c>
      <c r="V66" s="21">
        <v>6</v>
      </c>
      <c r="W66" s="21">
        <v>0</v>
      </c>
      <c r="X66" s="21">
        <v>8</v>
      </c>
      <c r="Y66" s="21">
        <v>23</v>
      </c>
      <c r="Z66" s="23" t="s">
        <v>155</v>
      </c>
      <c r="AA66" s="31"/>
      <c r="AB66" s="31"/>
      <c r="AC66" s="31"/>
      <c r="AD66" s="31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</row>
    <row r="67" spans="1:45" ht="24.95" customHeight="1">
      <c r="A67" s="85"/>
      <c r="B67" s="10">
        <v>62</v>
      </c>
      <c r="C67" s="11" t="s">
        <v>156</v>
      </c>
      <c r="D67" s="37">
        <v>203</v>
      </c>
      <c r="E67" s="37">
        <v>105</v>
      </c>
      <c r="F67" s="37">
        <v>98</v>
      </c>
      <c r="G67" s="14">
        <f t="shared" si="0"/>
        <v>1.5391614223974524E-2</v>
      </c>
      <c r="H67" s="14">
        <f t="shared" si="1"/>
        <v>0.51724137931034486</v>
      </c>
      <c r="I67" s="14">
        <f t="shared" si="2"/>
        <v>0.48275862068965519</v>
      </c>
      <c r="J67" s="15">
        <v>118</v>
      </c>
      <c r="K67" s="15">
        <v>58</v>
      </c>
      <c r="L67" s="15">
        <v>60</v>
      </c>
      <c r="M67" s="44" t="s">
        <v>33</v>
      </c>
      <c r="N67" s="25">
        <v>13189</v>
      </c>
      <c r="O67" s="18">
        <f t="shared" si="3"/>
        <v>8.9468496474334677E-3</v>
      </c>
      <c r="P67" s="19">
        <f t="shared" si="4"/>
        <v>0.49152542372881358</v>
      </c>
      <c r="Q67" s="20">
        <f t="shared" si="5"/>
        <v>0.50847457627118642</v>
      </c>
      <c r="R67" s="21">
        <v>13</v>
      </c>
      <c r="S67" s="21">
        <v>1</v>
      </c>
      <c r="T67" s="21">
        <v>0</v>
      </c>
      <c r="U67" s="21">
        <v>0</v>
      </c>
      <c r="V67" s="21">
        <v>13</v>
      </c>
      <c r="W67" s="21">
        <v>1</v>
      </c>
      <c r="X67" s="21">
        <v>19</v>
      </c>
      <c r="Y67" s="21">
        <v>17</v>
      </c>
      <c r="Z67" s="23" t="s">
        <v>157</v>
      </c>
      <c r="AA67" s="31"/>
      <c r="AB67" s="31"/>
      <c r="AC67" s="31"/>
      <c r="AD67" s="31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</row>
    <row r="68" spans="1:45" ht="24.95" customHeight="1">
      <c r="A68" s="86"/>
      <c r="B68" s="10">
        <v>63</v>
      </c>
      <c r="C68" s="11" t="s">
        <v>158</v>
      </c>
      <c r="D68" s="40">
        <v>1148</v>
      </c>
      <c r="E68" s="37">
        <v>575</v>
      </c>
      <c r="F68" s="37">
        <v>573</v>
      </c>
      <c r="G68" s="14">
        <f t="shared" si="0"/>
        <v>1.5354162208431414E-2</v>
      </c>
      <c r="H68" s="14">
        <f t="shared" si="1"/>
        <v>0.50087108013937287</v>
      </c>
      <c r="I68" s="14">
        <f t="shared" si="2"/>
        <v>0.49912891986062718</v>
      </c>
      <c r="J68" s="15">
        <v>412</v>
      </c>
      <c r="K68" s="15">
        <v>226</v>
      </c>
      <c r="L68" s="15">
        <v>186</v>
      </c>
      <c r="M68" s="44" t="s">
        <v>33</v>
      </c>
      <c r="N68" s="25">
        <v>74768</v>
      </c>
      <c r="O68" s="18">
        <f t="shared" si="3"/>
        <v>5.5103787716670235E-3</v>
      </c>
      <c r="P68" s="19">
        <f t="shared" si="4"/>
        <v>0.54854368932038833</v>
      </c>
      <c r="Q68" s="20">
        <f t="shared" si="5"/>
        <v>0.45145631067961167</v>
      </c>
      <c r="R68" s="21">
        <v>19</v>
      </c>
      <c r="S68" s="21">
        <v>1</v>
      </c>
      <c r="T68" s="21">
        <v>0</v>
      </c>
      <c r="U68" s="21">
        <v>2</v>
      </c>
      <c r="V68" s="21">
        <v>17</v>
      </c>
      <c r="W68" s="21">
        <v>1</v>
      </c>
      <c r="X68" s="21">
        <v>66</v>
      </c>
      <c r="Y68" s="21">
        <v>20</v>
      </c>
      <c r="Z68" s="23" t="s">
        <v>159</v>
      </c>
      <c r="AA68" s="31"/>
      <c r="AB68" s="31"/>
      <c r="AC68" s="31"/>
      <c r="AD68" s="31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</row>
    <row r="69" spans="1:45" ht="24.95" customHeight="1">
      <c r="A69" s="43" t="s">
        <v>160</v>
      </c>
      <c r="B69" s="10">
        <v>64</v>
      </c>
      <c r="C69" s="46" t="s">
        <v>161</v>
      </c>
      <c r="D69" s="37">
        <v>41</v>
      </c>
      <c r="E69" s="37">
        <v>21</v>
      </c>
      <c r="F69" s="37">
        <v>20</v>
      </c>
      <c r="G69" s="14">
        <f t="shared" si="0"/>
        <v>1.0688216892596455E-2</v>
      </c>
      <c r="H69" s="14">
        <f t="shared" si="1"/>
        <v>0.51219512195121952</v>
      </c>
      <c r="I69" s="14">
        <f t="shared" si="2"/>
        <v>0.48780487804878048</v>
      </c>
      <c r="J69" s="15">
        <v>49</v>
      </c>
      <c r="K69" s="15">
        <v>27</v>
      </c>
      <c r="L69" s="15">
        <v>22</v>
      </c>
      <c r="M69" s="44" t="s">
        <v>33</v>
      </c>
      <c r="N69" s="25">
        <v>3836</v>
      </c>
      <c r="O69" s="47">
        <f t="shared" si="3"/>
        <v>1.2773722627737226E-2</v>
      </c>
      <c r="P69" s="48">
        <f t="shared" si="4"/>
        <v>0.55102040816326525</v>
      </c>
      <c r="Q69" s="49">
        <f t="shared" si="5"/>
        <v>0.44897959183673469</v>
      </c>
      <c r="R69" s="21">
        <v>1</v>
      </c>
      <c r="S69" s="21">
        <v>0</v>
      </c>
      <c r="T69" s="21">
        <v>0</v>
      </c>
      <c r="U69" s="21">
        <v>0</v>
      </c>
      <c r="V69" s="21">
        <v>1</v>
      </c>
      <c r="W69" s="21">
        <v>0</v>
      </c>
      <c r="X69" s="21">
        <v>1</v>
      </c>
      <c r="Y69" s="21">
        <v>1</v>
      </c>
      <c r="Z69" s="23" t="s">
        <v>162</v>
      </c>
      <c r="AA69" s="31"/>
      <c r="AB69" s="31"/>
      <c r="AC69" s="31"/>
      <c r="AD69" s="31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</row>
    <row r="70" spans="1:45" ht="24.95" customHeight="1">
      <c r="A70" s="84" t="s">
        <v>163</v>
      </c>
      <c r="B70" s="10">
        <v>65</v>
      </c>
      <c r="C70" s="11" t="s">
        <v>164</v>
      </c>
      <c r="D70" s="37">
        <v>44</v>
      </c>
      <c r="E70" s="37">
        <v>23</v>
      </c>
      <c r="F70" s="37">
        <v>21</v>
      </c>
      <c r="G70" s="14">
        <f t="shared" si="0"/>
        <v>1.2201885745978924E-2</v>
      </c>
      <c r="H70" s="14">
        <f t="shared" si="1"/>
        <v>0.52272727272727271</v>
      </c>
      <c r="I70" s="14">
        <f t="shared" si="2"/>
        <v>0.47727272727272729</v>
      </c>
      <c r="J70" s="15">
        <v>50</v>
      </c>
      <c r="K70" s="15">
        <v>31</v>
      </c>
      <c r="L70" s="15">
        <v>19</v>
      </c>
      <c r="M70" s="44" t="s">
        <v>33</v>
      </c>
      <c r="N70" s="25">
        <v>3606</v>
      </c>
      <c r="O70" s="18">
        <f t="shared" si="3"/>
        <v>1.3865779256794232E-2</v>
      </c>
      <c r="P70" s="19">
        <f t="shared" si="4"/>
        <v>0.62</v>
      </c>
      <c r="Q70" s="20">
        <f t="shared" si="5"/>
        <v>0.38</v>
      </c>
      <c r="R70" s="21">
        <v>2</v>
      </c>
      <c r="S70" s="21">
        <v>0</v>
      </c>
      <c r="T70" s="21">
        <v>0</v>
      </c>
      <c r="U70" s="21">
        <v>0</v>
      </c>
      <c r="V70" s="21">
        <v>2</v>
      </c>
      <c r="W70" s="21">
        <v>0</v>
      </c>
      <c r="X70" s="21">
        <v>2</v>
      </c>
      <c r="Y70" s="21">
        <v>1</v>
      </c>
      <c r="Z70" s="23" t="s">
        <v>165</v>
      </c>
      <c r="AA70" s="31"/>
      <c r="AB70" s="31"/>
      <c r="AC70" s="31"/>
      <c r="AD70" s="31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</row>
    <row r="71" spans="1:45" ht="24.95" customHeight="1">
      <c r="A71" s="86"/>
      <c r="B71" s="10">
        <v>66</v>
      </c>
      <c r="C71" s="11" t="s">
        <v>166</v>
      </c>
      <c r="D71" s="37">
        <v>14</v>
      </c>
      <c r="E71" s="37">
        <v>5</v>
      </c>
      <c r="F71" s="37">
        <v>9</v>
      </c>
      <c r="G71" s="14">
        <f t="shared" si="0"/>
        <v>8.9171974522292991E-3</v>
      </c>
      <c r="H71" s="14">
        <f t="shared" si="1"/>
        <v>0.35714285714285715</v>
      </c>
      <c r="I71" s="14">
        <f t="shared" si="2"/>
        <v>0.6428571428571429</v>
      </c>
      <c r="J71" s="15">
        <v>23</v>
      </c>
      <c r="K71" s="15">
        <v>17</v>
      </c>
      <c r="L71" s="15">
        <v>6</v>
      </c>
      <c r="M71" s="44" t="s">
        <v>33</v>
      </c>
      <c r="N71" s="25">
        <v>1570</v>
      </c>
      <c r="O71" s="18">
        <f t="shared" si="3"/>
        <v>1.4649681528662421E-2</v>
      </c>
      <c r="P71" s="19">
        <f t="shared" si="4"/>
        <v>0.73913043478260865</v>
      </c>
      <c r="Q71" s="20">
        <f t="shared" si="5"/>
        <v>0.2608695652173913</v>
      </c>
      <c r="R71" s="21">
        <v>1</v>
      </c>
      <c r="S71" s="21">
        <v>0</v>
      </c>
      <c r="T71" s="21">
        <v>0</v>
      </c>
      <c r="U71" s="21">
        <v>0</v>
      </c>
      <c r="V71" s="21">
        <v>1</v>
      </c>
      <c r="W71" s="21">
        <v>0</v>
      </c>
      <c r="X71" s="21">
        <v>3</v>
      </c>
      <c r="Y71" s="21">
        <v>5</v>
      </c>
      <c r="Z71" s="23" t="s">
        <v>167</v>
      </c>
      <c r="AA71" s="31"/>
      <c r="AB71" s="31"/>
      <c r="AC71" s="31"/>
      <c r="AD71" s="31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</row>
    <row r="72" spans="1:45" ht="24.95" customHeight="1">
      <c r="A72" s="84" t="s">
        <v>168</v>
      </c>
      <c r="B72" s="10">
        <v>67</v>
      </c>
      <c r="C72" s="11" t="s">
        <v>169</v>
      </c>
      <c r="D72" s="37">
        <v>13</v>
      </c>
      <c r="E72" s="37">
        <v>7</v>
      </c>
      <c r="F72" s="37">
        <v>6</v>
      </c>
      <c r="G72" s="14">
        <f t="shared" si="0"/>
        <v>1.0699588477366255E-2</v>
      </c>
      <c r="H72" s="14">
        <f t="shared" si="1"/>
        <v>0.53846153846153844</v>
      </c>
      <c r="I72" s="14">
        <f t="shared" si="2"/>
        <v>0.46153846153846156</v>
      </c>
      <c r="J72" s="15">
        <v>22</v>
      </c>
      <c r="K72" s="15">
        <v>11</v>
      </c>
      <c r="L72" s="15">
        <v>11</v>
      </c>
      <c r="M72" s="44" t="s">
        <v>33</v>
      </c>
      <c r="N72" s="25">
        <v>1215</v>
      </c>
      <c r="O72" s="18">
        <f t="shared" si="3"/>
        <v>1.8106995884773661E-2</v>
      </c>
      <c r="P72" s="19">
        <f t="shared" si="4"/>
        <v>0.5</v>
      </c>
      <c r="Q72" s="20">
        <f t="shared" si="5"/>
        <v>0.5</v>
      </c>
      <c r="R72" s="21">
        <v>1</v>
      </c>
      <c r="S72" s="21">
        <v>0</v>
      </c>
      <c r="T72" s="21">
        <v>0</v>
      </c>
      <c r="U72" s="21">
        <v>0</v>
      </c>
      <c r="V72" s="21">
        <v>1</v>
      </c>
      <c r="W72" s="21">
        <v>0</v>
      </c>
      <c r="X72" s="21">
        <v>1</v>
      </c>
      <c r="Y72" s="21">
        <v>0</v>
      </c>
      <c r="Z72" s="23" t="s">
        <v>170</v>
      </c>
      <c r="AA72" s="31"/>
      <c r="AB72" s="31"/>
      <c r="AC72" s="31"/>
      <c r="AD72" s="31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</row>
    <row r="73" spans="1:45" ht="24.95" customHeight="1">
      <c r="A73" s="85"/>
      <c r="B73" s="10">
        <v>68</v>
      </c>
      <c r="C73" s="11" t="s">
        <v>171</v>
      </c>
      <c r="D73" s="37">
        <v>48</v>
      </c>
      <c r="E73" s="37">
        <v>27</v>
      </c>
      <c r="F73" s="37">
        <v>21</v>
      </c>
      <c r="G73" s="14">
        <f t="shared" si="0"/>
        <v>7.8546882670594009E-3</v>
      </c>
      <c r="H73" s="14">
        <f t="shared" si="1"/>
        <v>0.5625</v>
      </c>
      <c r="I73" s="14">
        <f t="shared" si="2"/>
        <v>0.4375</v>
      </c>
      <c r="J73" s="15">
        <v>80</v>
      </c>
      <c r="K73" s="15">
        <v>41</v>
      </c>
      <c r="L73" s="15">
        <v>39</v>
      </c>
      <c r="M73" s="44" t="s">
        <v>33</v>
      </c>
      <c r="N73" s="25">
        <v>6111</v>
      </c>
      <c r="O73" s="18">
        <f t="shared" si="3"/>
        <v>1.3091147111765669E-2</v>
      </c>
      <c r="P73" s="19">
        <f t="shared" si="4"/>
        <v>0.51249999999999996</v>
      </c>
      <c r="Q73" s="20">
        <f t="shared" si="5"/>
        <v>0.48749999999999999</v>
      </c>
      <c r="R73" s="21">
        <v>4</v>
      </c>
      <c r="S73" s="21">
        <v>0</v>
      </c>
      <c r="T73" s="21">
        <v>0</v>
      </c>
      <c r="U73" s="21">
        <v>0</v>
      </c>
      <c r="V73" s="21">
        <v>4</v>
      </c>
      <c r="W73" s="21">
        <v>0</v>
      </c>
      <c r="X73" s="21">
        <v>6</v>
      </c>
      <c r="Y73" s="21">
        <v>6</v>
      </c>
      <c r="Z73" s="23" t="s">
        <v>172</v>
      </c>
      <c r="AA73" s="31"/>
      <c r="AB73" s="31"/>
      <c r="AC73" s="31"/>
      <c r="AD73" s="31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</row>
    <row r="74" spans="1:45" ht="24.95" customHeight="1">
      <c r="A74" s="86"/>
      <c r="B74" s="10">
        <v>69</v>
      </c>
      <c r="C74" s="11" t="s">
        <v>173</v>
      </c>
      <c r="D74" s="37">
        <v>11</v>
      </c>
      <c r="E74" s="37">
        <v>5</v>
      </c>
      <c r="F74" s="37">
        <v>6</v>
      </c>
      <c r="G74" s="14">
        <f t="shared" si="0"/>
        <v>1.4686248331108143E-2</v>
      </c>
      <c r="H74" s="14">
        <f t="shared" si="1"/>
        <v>0.45454545454545453</v>
      </c>
      <c r="I74" s="14">
        <f t="shared" si="2"/>
        <v>0.54545454545454541</v>
      </c>
      <c r="J74" s="15">
        <v>24</v>
      </c>
      <c r="K74" s="15">
        <v>9</v>
      </c>
      <c r="L74" s="15">
        <v>15</v>
      </c>
      <c r="M74" s="44" t="s">
        <v>33</v>
      </c>
      <c r="N74" s="25">
        <v>749</v>
      </c>
      <c r="O74" s="18">
        <f t="shared" si="3"/>
        <v>3.2042723631508681E-2</v>
      </c>
      <c r="P74" s="19">
        <f t="shared" si="4"/>
        <v>0.375</v>
      </c>
      <c r="Q74" s="20">
        <f t="shared" si="5"/>
        <v>0.625</v>
      </c>
      <c r="R74" s="21">
        <v>1</v>
      </c>
      <c r="S74" s="21">
        <v>0</v>
      </c>
      <c r="T74" s="21">
        <v>0</v>
      </c>
      <c r="U74" s="21">
        <v>0</v>
      </c>
      <c r="V74" s="21">
        <v>1</v>
      </c>
      <c r="W74" s="21">
        <v>0</v>
      </c>
      <c r="X74" s="21">
        <v>1</v>
      </c>
      <c r="Y74" s="21">
        <v>0</v>
      </c>
      <c r="Z74" s="23" t="s">
        <v>174</v>
      </c>
      <c r="AA74" s="31"/>
      <c r="AB74" s="31"/>
      <c r="AC74" s="31"/>
      <c r="AD74" s="31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</row>
    <row r="75" spans="1:45" ht="24.95" customHeight="1">
      <c r="A75" s="84" t="s">
        <v>175</v>
      </c>
      <c r="B75" s="10">
        <v>70</v>
      </c>
      <c r="C75" s="11" t="s">
        <v>176</v>
      </c>
      <c r="D75" s="37">
        <v>43</v>
      </c>
      <c r="E75" s="37">
        <v>24</v>
      </c>
      <c r="F75" s="37">
        <v>19</v>
      </c>
      <c r="G75" s="14">
        <f t="shared" si="0"/>
        <v>1.4006514657980456E-2</v>
      </c>
      <c r="H75" s="14">
        <f t="shared" si="1"/>
        <v>0.55813953488372092</v>
      </c>
      <c r="I75" s="14">
        <f t="shared" si="2"/>
        <v>0.44186046511627908</v>
      </c>
      <c r="J75" s="15">
        <v>30</v>
      </c>
      <c r="K75" s="15">
        <v>14</v>
      </c>
      <c r="L75" s="15">
        <v>16</v>
      </c>
      <c r="M75" s="44" t="s">
        <v>33</v>
      </c>
      <c r="N75" s="39">
        <v>3070</v>
      </c>
      <c r="O75" s="18">
        <f t="shared" si="3"/>
        <v>9.7719869706840382E-3</v>
      </c>
      <c r="P75" s="19">
        <f t="shared" si="4"/>
        <v>0.46666666666666667</v>
      </c>
      <c r="Q75" s="20">
        <f t="shared" si="5"/>
        <v>0.53333333333333333</v>
      </c>
      <c r="R75" s="21">
        <v>1</v>
      </c>
      <c r="S75" s="21">
        <v>0</v>
      </c>
      <c r="T75" s="21">
        <v>0</v>
      </c>
      <c r="U75" s="21">
        <v>0</v>
      </c>
      <c r="V75" s="21">
        <v>1</v>
      </c>
      <c r="W75" s="21">
        <v>0</v>
      </c>
      <c r="X75" s="21">
        <v>5</v>
      </c>
      <c r="Y75" s="21">
        <v>1</v>
      </c>
      <c r="Z75" s="23" t="s">
        <v>177</v>
      </c>
      <c r="AA75" s="31"/>
      <c r="AB75" s="31"/>
      <c r="AC75" s="31"/>
      <c r="AD75" s="31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</row>
    <row r="76" spans="1:45" ht="24.95" customHeight="1">
      <c r="A76" s="86"/>
      <c r="B76" s="10">
        <v>71</v>
      </c>
      <c r="C76" s="11" t="s">
        <v>178</v>
      </c>
      <c r="D76" s="40">
        <v>1481</v>
      </c>
      <c r="E76" s="37">
        <v>785</v>
      </c>
      <c r="F76" s="37">
        <v>696</v>
      </c>
      <c r="G76" s="14">
        <f t="shared" si="0"/>
        <v>1.0444803340080258E-2</v>
      </c>
      <c r="H76" s="14">
        <f t="shared" si="1"/>
        <v>0.53004726536124236</v>
      </c>
      <c r="I76" s="14">
        <f t="shared" si="2"/>
        <v>0.46995273463875759</v>
      </c>
      <c r="J76" s="15">
        <v>1154</v>
      </c>
      <c r="K76" s="15">
        <v>640</v>
      </c>
      <c r="L76" s="15">
        <v>514</v>
      </c>
      <c r="M76" s="44" t="s">
        <v>33</v>
      </c>
      <c r="N76" s="25">
        <v>141793</v>
      </c>
      <c r="O76" s="18">
        <f t="shared" si="3"/>
        <v>8.1386246147553132E-3</v>
      </c>
      <c r="P76" s="19">
        <f t="shared" si="4"/>
        <v>0.55459272097053725</v>
      </c>
      <c r="Q76" s="20">
        <f t="shared" si="5"/>
        <v>0.44540727902946275</v>
      </c>
      <c r="R76" s="21">
        <v>20</v>
      </c>
      <c r="S76" s="21">
        <v>2</v>
      </c>
      <c r="T76" s="21">
        <v>0</v>
      </c>
      <c r="U76" s="21">
        <v>4</v>
      </c>
      <c r="V76" s="21">
        <v>17</v>
      </c>
      <c r="W76" s="21">
        <v>1</v>
      </c>
      <c r="X76" s="21">
        <v>277</v>
      </c>
      <c r="Y76" s="21">
        <v>25</v>
      </c>
      <c r="Z76" s="23" t="s">
        <v>179</v>
      </c>
      <c r="AA76" s="31"/>
      <c r="AB76" s="31"/>
      <c r="AC76" s="31"/>
      <c r="AD76" s="31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</row>
    <row r="77" spans="1:45" ht="24.95" customHeight="1">
      <c r="A77" s="84" t="s">
        <v>180</v>
      </c>
      <c r="B77" s="10">
        <v>72</v>
      </c>
      <c r="C77" s="11" t="s">
        <v>181</v>
      </c>
      <c r="D77" s="40">
        <v>1270</v>
      </c>
      <c r="E77" s="37">
        <v>607</v>
      </c>
      <c r="F77" s="37">
        <v>663</v>
      </c>
      <c r="G77" s="14">
        <f t="shared" si="0"/>
        <v>1.0089294226063745E-2</v>
      </c>
      <c r="H77" s="14">
        <f t="shared" si="1"/>
        <v>0.47795275590551178</v>
      </c>
      <c r="I77" s="14">
        <f t="shared" si="2"/>
        <v>0.52204724409448822</v>
      </c>
      <c r="J77" s="15">
        <v>474</v>
      </c>
      <c r="K77" s="15">
        <v>274</v>
      </c>
      <c r="L77" s="15">
        <v>200</v>
      </c>
      <c r="M77" s="44" t="s">
        <v>33</v>
      </c>
      <c r="N77" s="25">
        <v>125876</v>
      </c>
      <c r="O77" s="18">
        <f t="shared" si="3"/>
        <v>3.7656106009088309E-3</v>
      </c>
      <c r="P77" s="19">
        <f t="shared" si="4"/>
        <v>0.57805907172995785</v>
      </c>
      <c r="Q77" s="20">
        <f t="shared" si="5"/>
        <v>0.4219409282700422</v>
      </c>
      <c r="R77" s="21">
        <v>7</v>
      </c>
      <c r="S77" s="21">
        <v>0</v>
      </c>
      <c r="T77" s="21">
        <v>0</v>
      </c>
      <c r="U77" s="21">
        <v>0</v>
      </c>
      <c r="V77" s="21">
        <v>6</v>
      </c>
      <c r="W77" s="21">
        <v>1</v>
      </c>
      <c r="X77" s="21">
        <v>43</v>
      </c>
      <c r="Y77" s="21">
        <v>4</v>
      </c>
      <c r="Z77" s="23" t="s">
        <v>182</v>
      </c>
      <c r="AA77" s="31"/>
      <c r="AB77" s="31"/>
      <c r="AC77" s="31"/>
      <c r="AD77" s="31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</row>
    <row r="78" spans="1:45" ht="24.95" customHeight="1">
      <c r="A78" s="85"/>
      <c r="B78" s="10">
        <v>73</v>
      </c>
      <c r="C78" s="11" t="s">
        <v>183</v>
      </c>
      <c r="D78" s="40">
        <v>14308</v>
      </c>
      <c r="E78" s="40">
        <v>7317</v>
      </c>
      <c r="F78" s="40">
        <v>6991</v>
      </c>
      <c r="G78" s="14">
        <f t="shared" si="0"/>
        <v>8.4553602717439801E-3</v>
      </c>
      <c r="H78" s="14">
        <f t="shared" si="1"/>
        <v>0.51139222812412632</v>
      </c>
      <c r="I78" s="14">
        <f t="shared" si="2"/>
        <v>0.48860777187587362</v>
      </c>
      <c r="J78" s="15">
        <v>11069</v>
      </c>
      <c r="K78" s="15">
        <v>5773</v>
      </c>
      <c r="L78" s="15">
        <v>5292</v>
      </c>
      <c r="M78" s="50">
        <v>4</v>
      </c>
      <c r="N78" s="25">
        <v>1692181</v>
      </c>
      <c r="O78" s="18">
        <f t="shared" si="3"/>
        <v>6.5412624299646437E-3</v>
      </c>
      <c r="P78" s="19">
        <f t="shared" si="4"/>
        <v>0.52154666184840548</v>
      </c>
      <c r="Q78" s="20">
        <f t="shared" si="5"/>
        <v>0.47809196856084563</v>
      </c>
      <c r="R78" s="21">
        <v>108</v>
      </c>
      <c r="S78" s="21">
        <v>5</v>
      </c>
      <c r="T78" s="21">
        <v>8</v>
      </c>
      <c r="U78" s="21">
        <v>53</v>
      </c>
      <c r="V78" s="21">
        <v>61</v>
      </c>
      <c r="W78" s="21">
        <v>7</v>
      </c>
      <c r="X78" s="21" t="s">
        <v>184</v>
      </c>
      <c r="Y78" s="21">
        <v>89</v>
      </c>
      <c r="Z78" s="23" t="s">
        <v>185</v>
      </c>
      <c r="AA78" s="31"/>
      <c r="AB78" s="31"/>
      <c r="AC78" s="31"/>
      <c r="AD78" s="31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</row>
    <row r="79" spans="1:45" ht="24.95" customHeight="1">
      <c r="A79" s="86"/>
      <c r="B79" s="10">
        <v>74</v>
      </c>
      <c r="C79" s="11" t="s">
        <v>186</v>
      </c>
      <c r="D79" s="40">
        <v>1856</v>
      </c>
      <c r="E79" s="37">
        <v>926</v>
      </c>
      <c r="F79" s="37">
        <v>930</v>
      </c>
      <c r="G79" s="14">
        <f t="shared" si="0"/>
        <v>1.2016989536931524E-2</v>
      </c>
      <c r="H79" s="14">
        <f t="shared" si="1"/>
        <v>0.49892241379310343</v>
      </c>
      <c r="I79" s="14">
        <f t="shared" si="2"/>
        <v>0.50107758620689657</v>
      </c>
      <c r="J79" s="15">
        <v>709</v>
      </c>
      <c r="K79" s="15">
        <v>383</v>
      </c>
      <c r="L79" s="15">
        <v>326</v>
      </c>
      <c r="M79" s="50" t="s">
        <v>33</v>
      </c>
      <c r="N79" s="25">
        <v>154448</v>
      </c>
      <c r="O79" s="18">
        <f t="shared" si="3"/>
        <v>4.5905418004765358E-3</v>
      </c>
      <c r="P79" s="19">
        <f t="shared" si="4"/>
        <v>0.54019746121297607</v>
      </c>
      <c r="Q79" s="20">
        <f t="shared" si="5"/>
        <v>0.45980253878702398</v>
      </c>
      <c r="R79" s="21">
        <v>7</v>
      </c>
      <c r="S79" s="21">
        <v>1</v>
      </c>
      <c r="T79" s="21">
        <v>1</v>
      </c>
      <c r="U79" s="21">
        <v>0</v>
      </c>
      <c r="V79" s="21">
        <v>8</v>
      </c>
      <c r="W79" s="21">
        <v>1</v>
      </c>
      <c r="X79" s="21">
        <v>472</v>
      </c>
      <c r="Y79" s="21">
        <v>1</v>
      </c>
      <c r="Z79" s="23" t="s">
        <v>187</v>
      </c>
      <c r="AA79" s="31"/>
      <c r="AB79" s="31"/>
      <c r="AC79" s="31"/>
      <c r="AD79" s="31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</row>
    <row r="80" spans="1:45" ht="24.95" customHeight="1">
      <c r="A80" s="84" t="s">
        <v>188</v>
      </c>
      <c r="B80" s="10">
        <v>75</v>
      </c>
      <c r="C80" s="11" t="s">
        <v>189</v>
      </c>
      <c r="D80" s="37">
        <v>191</v>
      </c>
      <c r="E80" s="37">
        <v>95</v>
      </c>
      <c r="F80" s="37">
        <v>96</v>
      </c>
      <c r="G80" s="14">
        <f t="shared" si="0"/>
        <v>1.013047629150313E-2</v>
      </c>
      <c r="H80" s="14">
        <f t="shared" si="1"/>
        <v>0.49738219895287961</v>
      </c>
      <c r="I80" s="14">
        <f t="shared" si="2"/>
        <v>0.50261780104712039</v>
      </c>
      <c r="J80" s="15">
        <v>134</v>
      </c>
      <c r="K80" s="15">
        <v>73</v>
      </c>
      <c r="L80" s="15">
        <v>61</v>
      </c>
      <c r="M80" s="16" t="s">
        <v>33</v>
      </c>
      <c r="N80" s="25">
        <v>18854</v>
      </c>
      <c r="O80" s="18">
        <f t="shared" si="3"/>
        <v>7.1072451469184261E-3</v>
      </c>
      <c r="P80" s="19">
        <f t="shared" si="4"/>
        <v>0.54477611940298509</v>
      </c>
      <c r="Q80" s="20">
        <f t="shared" si="5"/>
        <v>0.45522388059701491</v>
      </c>
      <c r="R80" s="21">
        <v>3</v>
      </c>
      <c r="S80" s="21">
        <v>0</v>
      </c>
      <c r="T80" s="21">
        <v>0</v>
      </c>
      <c r="U80" s="21">
        <v>0</v>
      </c>
      <c r="V80" s="21">
        <v>2</v>
      </c>
      <c r="W80" s="21">
        <v>1</v>
      </c>
      <c r="X80" s="21">
        <v>14</v>
      </c>
      <c r="Y80" s="21">
        <v>0</v>
      </c>
      <c r="Z80" s="23" t="s">
        <v>190</v>
      </c>
      <c r="AA80" s="31"/>
      <c r="AB80" s="31"/>
      <c r="AC80" s="31"/>
      <c r="AD80" s="31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</row>
    <row r="81" spans="1:45" ht="24.95" customHeight="1">
      <c r="A81" s="86"/>
      <c r="B81" s="10">
        <v>76</v>
      </c>
      <c r="C81" s="11" t="s">
        <v>191</v>
      </c>
      <c r="D81" s="37">
        <v>934</v>
      </c>
      <c r="E81" s="37">
        <v>479</v>
      </c>
      <c r="F81" s="37">
        <v>455</v>
      </c>
      <c r="G81" s="14">
        <f t="shared" si="0"/>
        <v>1.2813125908853952E-2</v>
      </c>
      <c r="H81" s="14">
        <f t="shared" si="1"/>
        <v>0.51284796573875802</v>
      </c>
      <c r="I81" s="14">
        <f t="shared" si="2"/>
        <v>0.48715203426124198</v>
      </c>
      <c r="J81" s="15">
        <v>388</v>
      </c>
      <c r="K81" s="15">
        <v>200</v>
      </c>
      <c r="L81" s="15">
        <v>188</v>
      </c>
      <c r="M81" s="16" t="s">
        <v>33</v>
      </c>
      <c r="N81" s="25">
        <v>72894</v>
      </c>
      <c r="O81" s="18">
        <f t="shared" si="3"/>
        <v>5.3227974867615987E-3</v>
      </c>
      <c r="P81" s="18">
        <f t="shared" si="4"/>
        <v>0.51546391752577314</v>
      </c>
      <c r="Q81" s="51">
        <f t="shared" si="5"/>
        <v>0.4845360824742268</v>
      </c>
      <c r="R81" s="21">
        <v>12</v>
      </c>
      <c r="S81" s="21">
        <v>1</v>
      </c>
      <c r="T81" s="21">
        <v>0</v>
      </c>
      <c r="U81" s="21">
        <v>0</v>
      </c>
      <c r="V81" s="21">
        <v>12</v>
      </c>
      <c r="W81" s="21">
        <v>1</v>
      </c>
      <c r="X81" s="21">
        <v>65</v>
      </c>
      <c r="Y81" s="21">
        <v>0</v>
      </c>
      <c r="Z81" s="23" t="s">
        <v>137</v>
      </c>
      <c r="AA81" s="31"/>
      <c r="AB81" s="31"/>
      <c r="AC81" s="31"/>
      <c r="AD81" s="31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</row>
    <row r="82" spans="1:45" ht="15.75" customHeight="1">
      <c r="A82" s="52"/>
      <c r="B82" s="30"/>
      <c r="C82" s="53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5"/>
      <c r="U82" s="54"/>
      <c r="V82" s="56"/>
      <c r="W82" s="56"/>
      <c r="X82" s="56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</row>
    <row r="83" spans="1:45" ht="15.75" customHeight="1">
      <c r="A83" s="52"/>
      <c r="B83" s="30"/>
      <c r="C83" s="53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6"/>
      <c r="W83" s="56"/>
      <c r="X83" s="56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</row>
    <row r="84" spans="1:45" ht="42" customHeight="1">
      <c r="A84" s="52"/>
      <c r="B84" s="30"/>
      <c r="C84" s="87" t="s">
        <v>192</v>
      </c>
      <c r="D84" s="88" t="s">
        <v>193</v>
      </c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9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</row>
    <row r="85" spans="1:45" ht="41.25" customHeight="1">
      <c r="A85" s="52"/>
      <c r="B85" s="30"/>
      <c r="C85" s="85"/>
      <c r="D85" s="88" t="s">
        <v>194</v>
      </c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9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</row>
    <row r="86" spans="1:45" ht="55.5" customHeight="1">
      <c r="A86" s="52"/>
      <c r="B86" s="30"/>
      <c r="C86" s="85"/>
      <c r="D86" s="88" t="s">
        <v>195</v>
      </c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9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</row>
    <row r="87" spans="1:45" ht="56.25" customHeight="1">
      <c r="A87" s="52"/>
      <c r="B87" s="30"/>
      <c r="C87" s="85"/>
      <c r="D87" s="88" t="s">
        <v>196</v>
      </c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9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</row>
    <row r="88" spans="1:45" ht="66" customHeight="1">
      <c r="A88" s="52"/>
      <c r="B88" s="30"/>
      <c r="C88" s="85"/>
      <c r="D88" s="88" t="s">
        <v>197</v>
      </c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9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</row>
    <row r="89" spans="1:45" ht="34.5" customHeight="1">
      <c r="A89" s="30"/>
      <c r="B89" s="30"/>
      <c r="C89" s="85"/>
      <c r="D89" s="88" t="s">
        <v>198</v>
      </c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9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</row>
    <row r="90" spans="1:45" ht="30.75" customHeight="1">
      <c r="A90" s="30"/>
      <c r="B90" s="30"/>
      <c r="C90" s="86"/>
      <c r="D90" s="91" t="s">
        <v>199</v>
      </c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74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</row>
    <row r="91" spans="1:45" ht="15.75" customHeight="1">
      <c r="A91" s="57"/>
      <c r="B91" s="57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9"/>
      <c r="P91" s="60"/>
      <c r="Q91" s="60"/>
      <c r="R91" s="61"/>
      <c r="S91" s="56"/>
      <c r="T91" s="30"/>
      <c r="U91" s="56"/>
      <c r="V91" s="56"/>
      <c r="W91" s="56"/>
      <c r="X91" s="56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</row>
    <row r="92" spans="1:45" ht="15.75" customHeight="1">
      <c r="A92" s="73" t="s">
        <v>200</v>
      </c>
      <c r="B92" s="74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9"/>
      <c r="P92" s="60"/>
      <c r="Q92" s="60"/>
      <c r="R92" s="61"/>
      <c r="S92" s="56"/>
      <c r="T92" s="30"/>
      <c r="U92" s="56"/>
      <c r="V92" s="56"/>
      <c r="W92" s="56"/>
      <c r="X92" s="56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</row>
    <row r="93" spans="1:45" ht="105" customHeight="1">
      <c r="A93" s="75" t="s">
        <v>201</v>
      </c>
      <c r="B93" s="74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9"/>
      <c r="P93" s="60"/>
      <c r="Q93" s="60"/>
      <c r="R93" s="61"/>
      <c r="S93" s="56"/>
      <c r="T93" s="30"/>
      <c r="U93" s="56"/>
      <c r="V93" s="56"/>
      <c r="W93" s="56"/>
      <c r="X93" s="56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</row>
    <row r="94" spans="1:45" ht="75" customHeight="1">
      <c r="A94" s="76" t="s">
        <v>202</v>
      </c>
      <c r="B94" s="77"/>
      <c r="C94" s="30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9"/>
      <c r="P94" s="60"/>
      <c r="Q94" s="60"/>
      <c r="R94" s="61"/>
      <c r="S94" s="56"/>
      <c r="T94" s="30"/>
      <c r="U94" s="56"/>
      <c r="V94" s="56"/>
      <c r="W94" s="56"/>
      <c r="X94" s="56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</row>
    <row r="95" spans="1:45" ht="15.75" customHeight="1">
      <c r="A95" s="78" t="s">
        <v>203</v>
      </c>
      <c r="B95" s="79"/>
      <c r="C95" s="30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9"/>
      <c r="P95" s="60"/>
      <c r="Q95" s="60"/>
      <c r="R95" s="61"/>
      <c r="S95" s="56"/>
      <c r="T95" s="30"/>
      <c r="U95" s="56"/>
      <c r="V95" s="56"/>
      <c r="W95" s="56"/>
      <c r="X95" s="56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</row>
    <row r="96" spans="1:45" ht="15.75" customHeight="1">
      <c r="A96" s="76" t="s">
        <v>204</v>
      </c>
      <c r="B96" s="77"/>
      <c r="C96" s="30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9"/>
      <c r="P96" s="60"/>
      <c r="Q96" s="60"/>
      <c r="R96" s="61"/>
      <c r="S96" s="56"/>
      <c r="T96" s="30"/>
      <c r="U96" s="56"/>
      <c r="V96" s="56"/>
      <c r="W96" s="56"/>
      <c r="X96" s="56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</row>
    <row r="97" spans="1:45" ht="15.75" customHeight="1">
      <c r="A97" s="80"/>
      <c r="B97" s="81"/>
      <c r="C97" s="30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9"/>
      <c r="P97" s="60"/>
      <c r="Q97" s="60"/>
      <c r="R97" s="61"/>
      <c r="S97" s="56"/>
      <c r="T97" s="30"/>
      <c r="U97" s="56"/>
      <c r="V97" s="56"/>
      <c r="W97" s="56"/>
      <c r="X97" s="56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</row>
    <row r="98" spans="1:45" ht="15.75" customHeight="1">
      <c r="A98" s="82"/>
      <c r="B98" s="83"/>
      <c r="C98" s="30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9"/>
      <c r="P98" s="60"/>
      <c r="Q98" s="60"/>
      <c r="R98" s="61"/>
      <c r="S98" s="56"/>
      <c r="T98" s="30"/>
      <c r="U98" s="56"/>
      <c r="V98" s="56"/>
      <c r="W98" s="56"/>
      <c r="X98" s="56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</row>
    <row r="99" spans="1:45" ht="15.75" customHeight="1">
      <c r="A99" s="62"/>
      <c r="B99" s="63"/>
      <c r="C99" s="30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9"/>
      <c r="P99" s="60"/>
      <c r="Q99" s="60"/>
      <c r="R99" s="61"/>
      <c r="S99" s="56"/>
      <c r="T99" s="30"/>
      <c r="U99" s="56"/>
      <c r="V99" s="56"/>
      <c r="W99" s="56"/>
      <c r="X99" s="56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</row>
    <row r="100" spans="1:45" ht="15.75" customHeight="1">
      <c r="A100" s="64"/>
      <c r="B100" s="65"/>
      <c r="C100" s="30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9"/>
      <c r="P100" s="60"/>
      <c r="Q100" s="60"/>
      <c r="R100" s="61"/>
      <c r="S100" s="56"/>
      <c r="T100" s="30"/>
      <c r="U100" s="56"/>
      <c r="V100" s="56"/>
      <c r="W100" s="56"/>
      <c r="X100" s="56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</row>
    <row r="101" spans="1:45" ht="15.75" customHeight="1">
      <c r="A101" s="64"/>
      <c r="B101" s="65"/>
      <c r="C101" s="30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9"/>
      <c r="P101" s="60"/>
      <c r="Q101" s="60"/>
      <c r="R101" s="61"/>
      <c r="S101" s="56"/>
      <c r="T101" s="30"/>
      <c r="U101" s="56"/>
      <c r="V101" s="56"/>
      <c r="W101" s="56"/>
      <c r="X101" s="56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</row>
    <row r="102" spans="1:45" ht="43.5" customHeight="1">
      <c r="A102" s="66"/>
      <c r="B102" s="67"/>
      <c r="C102" s="30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9"/>
      <c r="P102" s="60"/>
      <c r="Q102" s="60"/>
      <c r="R102" s="61"/>
      <c r="S102" s="56"/>
      <c r="T102" s="30"/>
      <c r="U102" s="56"/>
      <c r="V102" s="56"/>
      <c r="W102" s="56"/>
      <c r="X102" s="56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</row>
    <row r="103" spans="1:45" ht="15.75" customHeight="1">
      <c r="A103" s="52"/>
      <c r="B103" s="30"/>
      <c r="C103" s="30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9"/>
      <c r="P103" s="60"/>
      <c r="Q103" s="60"/>
      <c r="R103" s="61"/>
      <c r="S103" s="56"/>
      <c r="T103" s="30"/>
      <c r="U103" s="56"/>
      <c r="V103" s="56"/>
      <c r="W103" s="56"/>
      <c r="X103" s="56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</row>
    <row r="104" spans="1:45" ht="15.75" customHeight="1">
      <c r="A104" s="52"/>
      <c r="B104" s="30"/>
      <c r="C104" s="30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9"/>
      <c r="P104" s="60"/>
      <c r="Q104" s="60"/>
      <c r="R104" s="61"/>
      <c r="S104" s="56"/>
      <c r="T104" s="30"/>
      <c r="U104" s="56"/>
      <c r="V104" s="56"/>
      <c r="W104" s="56"/>
      <c r="X104" s="56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</row>
    <row r="105" spans="1:45" ht="15.75" customHeight="1">
      <c r="A105" s="52"/>
      <c r="B105" s="30"/>
      <c r="C105" s="30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9"/>
      <c r="P105" s="60"/>
      <c r="Q105" s="60"/>
      <c r="R105" s="61"/>
      <c r="S105" s="56"/>
      <c r="T105" s="30"/>
      <c r="U105" s="56"/>
      <c r="V105" s="56"/>
      <c r="W105" s="56"/>
      <c r="X105" s="56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</row>
    <row r="106" spans="1:45" ht="15.75" customHeight="1">
      <c r="A106" s="52"/>
      <c r="B106" s="30"/>
      <c r="C106" s="30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9"/>
      <c r="P106" s="60"/>
      <c r="Q106" s="60"/>
      <c r="R106" s="61"/>
      <c r="S106" s="56"/>
      <c r="T106" s="30"/>
      <c r="U106" s="56"/>
      <c r="V106" s="56"/>
      <c r="W106" s="56"/>
      <c r="X106" s="56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</row>
    <row r="107" spans="1:45" ht="15.75" customHeight="1">
      <c r="A107" s="52"/>
      <c r="B107" s="30"/>
      <c r="C107" s="30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9"/>
      <c r="P107" s="60"/>
      <c r="Q107" s="60"/>
      <c r="R107" s="61"/>
      <c r="S107" s="56"/>
      <c r="T107" s="30"/>
      <c r="U107" s="56"/>
      <c r="V107" s="56"/>
      <c r="W107" s="56"/>
      <c r="X107" s="56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</row>
    <row r="108" spans="1:45" ht="15.75" customHeight="1">
      <c r="A108" s="52"/>
      <c r="B108" s="30"/>
      <c r="C108" s="30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9"/>
      <c r="P108" s="60"/>
      <c r="Q108" s="60"/>
      <c r="R108" s="61"/>
      <c r="S108" s="56"/>
      <c r="T108" s="30"/>
      <c r="U108" s="56"/>
      <c r="V108" s="56"/>
      <c r="W108" s="56"/>
      <c r="X108" s="56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</row>
    <row r="109" spans="1:45" ht="15.75" customHeight="1">
      <c r="A109" s="52"/>
      <c r="B109" s="30"/>
      <c r="C109" s="30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9"/>
      <c r="P109" s="60"/>
      <c r="Q109" s="60"/>
      <c r="R109" s="61"/>
      <c r="S109" s="56"/>
      <c r="T109" s="30"/>
      <c r="U109" s="56"/>
      <c r="V109" s="56"/>
      <c r="W109" s="56"/>
      <c r="X109" s="56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</row>
    <row r="110" spans="1:45" ht="15.75" customHeight="1">
      <c r="A110" s="52"/>
      <c r="B110" s="30"/>
      <c r="C110" s="30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9"/>
      <c r="P110" s="60"/>
      <c r="Q110" s="60"/>
      <c r="R110" s="61"/>
      <c r="S110" s="56"/>
      <c r="T110" s="30"/>
      <c r="U110" s="56"/>
      <c r="V110" s="56"/>
      <c r="W110" s="56"/>
      <c r="X110" s="56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</row>
    <row r="111" spans="1:45" ht="15.75" customHeight="1">
      <c r="A111" s="52"/>
      <c r="B111" s="30"/>
      <c r="C111" s="30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9"/>
      <c r="P111" s="60"/>
      <c r="Q111" s="60"/>
      <c r="R111" s="61"/>
      <c r="S111" s="56"/>
      <c r="T111" s="30"/>
      <c r="U111" s="56"/>
      <c r="V111" s="56"/>
      <c r="W111" s="56"/>
      <c r="X111" s="56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</row>
    <row r="112" spans="1:45" ht="15.75" customHeight="1">
      <c r="A112" s="52"/>
      <c r="B112" s="30"/>
      <c r="C112" s="30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9"/>
      <c r="P112" s="60"/>
      <c r="Q112" s="60"/>
      <c r="R112" s="61"/>
      <c r="S112" s="56"/>
      <c r="T112" s="30"/>
      <c r="U112" s="56"/>
      <c r="V112" s="56"/>
      <c r="W112" s="56"/>
      <c r="X112" s="56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</row>
    <row r="113" spans="1:45" ht="15.75" customHeight="1">
      <c r="A113" s="52"/>
      <c r="B113" s="30"/>
      <c r="C113" s="30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9"/>
      <c r="P113" s="60"/>
      <c r="Q113" s="60"/>
      <c r="R113" s="61"/>
      <c r="S113" s="56"/>
      <c r="T113" s="30"/>
      <c r="U113" s="56"/>
      <c r="V113" s="56"/>
      <c r="W113" s="56"/>
      <c r="X113" s="56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</row>
    <row r="114" spans="1:45" ht="15.75" customHeight="1">
      <c r="A114" s="52"/>
      <c r="B114" s="30"/>
      <c r="C114" s="30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9"/>
      <c r="P114" s="60"/>
      <c r="Q114" s="60"/>
      <c r="R114" s="61"/>
      <c r="S114" s="56"/>
      <c r="T114" s="30"/>
      <c r="U114" s="56"/>
      <c r="V114" s="56"/>
      <c r="W114" s="56"/>
      <c r="X114" s="56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</row>
    <row r="115" spans="1:45" ht="15.75" customHeight="1">
      <c r="A115" s="52"/>
      <c r="B115" s="30"/>
      <c r="C115" s="30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9"/>
      <c r="P115" s="60"/>
      <c r="Q115" s="60"/>
      <c r="R115" s="61"/>
      <c r="S115" s="56"/>
      <c r="T115" s="30"/>
      <c r="U115" s="56"/>
      <c r="V115" s="56"/>
      <c r="W115" s="56"/>
      <c r="X115" s="56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N115" s="30"/>
      <c r="AO115" s="30"/>
      <c r="AP115" s="30"/>
      <c r="AQ115" s="30"/>
      <c r="AR115" s="30"/>
      <c r="AS115" s="30"/>
    </row>
    <row r="116" spans="1:45" ht="15.75" customHeight="1">
      <c r="A116" s="52"/>
      <c r="B116" s="30"/>
      <c r="C116" s="30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9"/>
      <c r="P116" s="60"/>
      <c r="Q116" s="60"/>
      <c r="R116" s="61"/>
      <c r="S116" s="56"/>
      <c r="T116" s="30"/>
      <c r="U116" s="56"/>
      <c r="V116" s="56"/>
      <c r="W116" s="56"/>
      <c r="X116" s="56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N116" s="30"/>
      <c r="AO116" s="30"/>
      <c r="AP116" s="30"/>
      <c r="AQ116" s="30"/>
      <c r="AR116" s="30"/>
      <c r="AS116" s="30"/>
    </row>
    <row r="117" spans="1:45" ht="15.75" customHeight="1">
      <c r="A117" s="52"/>
      <c r="B117" s="30"/>
      <c r="C117" s="30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9"/>
      <c r="P117" s="60"/>
      <c r="Q117" s="60"/>
      <c r="R117" s="61"/>
      <c r="S117" s="56"/>
      <c r="T117" s="30"/>
      <c r="U117" s="56"/>
      <c r="V117" s="56"/>
      <c r="W117" s="56"/>
      <c r="X117" s="56"/>
      <c r="Y117" s="30"/>
      <c r="Z117" s="30"/>
      <c r="AA117" s="30"/>
      <c r="AB117" s="30"/>
      <c r="AC117" s="30"/>
      <c r="AD117" s="30"/>
    </row>
    <row r="118" spans="1:45" ht="15.75" customHeight="1">
      <c r="A118" s="52"/>
      <c r="B118" s="30"/>
      <c r="C118" s="30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9"/>
      <c r="P118" s="60"/>
      <c r="Q118" s="60"/>
      <c r="R118" s="61"/>
      <c r="S118" s="56"/>
      <c r="T118" s="30"/>
      <c r="U118" s="56"/>
      <c r="V118" s="56"/>
      <c r="W118" s="56"/>
      <c r="X118" s="56"/>
      <c r="Y118" s="30"/>
      <c r="Z118" s="30"/>
      <c r="AA118" s="30"/>
      <c r="AB118" s="30"/>
      <c r="AC118" s="30"/>
      <c r="AD118" s="30"/>
    </row>
    <row r="119" spans="1:45" ht="15.75" customHeight="1">
      <c r="A119" s="52"/>
      <c r="B119" s="30"/>
      <c r="C119" s="30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9"/>
      <c r="P119" s="60"/>
      <c r="Q119" s="60"/>
      <c r="R119" s="61"/>
      <c r="S119" s="56"/>
      <c r="T119" s="30"/>
      <c r="U119" s="56"/>
      <c r="V119" s="56"/>
      <c r="W119" s="56"/>
      <c r="X119" s="56"/>
      <c r="Y119" s="30"/>
      <c r="Z119" s="30"/>
      <c r="AA119" s="30"/>
      <c r="AB119" s="30"/>
      <c r="AC119" s="30"/>
      <c r="AD119" s="30"/>
    </row>
    <row r="120" spans="1:45" ht="15.75" customHeight="1">
      <c r="A120" s="52"/>
      <c r="B120" s="30"/>
      <c r="C120" s="30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9"/>
      <c r="P120" s="60"/>
      <c r="Q120" s="60"/>
      <c r="R120" s="61"/>
      <c r="S120" s="56"/>
      <c r="T120" s="30"/>
      <c r="U120" s="56"/>
      <c r="V120" s="56"/>
      <c r="W120" s="56"/>
      <c r="X120" s="56"/>
      <c r="Y120" s="30"/>
      <c r="Z120" s="30"/>
      <c r="AA120" s="30"/>
      <c r="AB120" s="30"/>
      <c r="AC120" s="30"/>
      <c r="AD120" s="30"/>
    </row>
    <row r="121" spans="1:45" ht="15.75" customHeight="1">
      <c r="A121" s="52"/>
      <c r="B121" s="30"/>
      <c r="C121" s="30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9"/>
      <c r="P121" s="60"/>
      <c r="Q121" s="60"/>
      <c r="R121" s="61"/>
      <c r="S121" s="56"/>
      <c r="T121" s="30"/>
      <c r="U121" s="56"/>
      <c r="V121" s="56"/>
      <c r="W121" s="56"/>
      <c r="X121" s="56"/>
      <c r="Y121" s="30"/>
      <c r="Z121" s="30"/>
      <c r="AA121" s="30"/>
      <c r="AB121" s="30"/>
      <c r="AC121" s="30"/>
      <c r="AD121" s="30"/>
    </row>
    <row r="122" spans="1:45" ht="15.75" customHeight="1">
      <c r="A122" s="52"/>
      <c r="B122" s="30"/>
      <c r="C122" s="30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9"/>
      <c r="P122" s="60"/>
      <c r="Q122" s="60"/>
      <c r="R122" s="61"/>
      <c r="S122" s="56"/>
      <c r="T122" s="30"/>
      <c r="U122" s="56"/>
      <c r="V122" s="56"/>
      <c r="W122" s="56"/>
      <c r="X122" s="56"/>
      <c r="Y122" s="30"/>
      <c r="Z122" s="30"/>
      <c r="AA122" s="30"/>
      <c r="AB122" s="30"/>
      <c r="AC122" s="30"/>
      <c r="AD122" s="30"/>
    </row>
    <row r="123" spans="1:45" ht="15.75" customHeight="1">
      <c r="A123" s="52"/>
      <c r="B123" s="30"/>
      <c r="C123" s="30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9"/>
      <c r="P123" s="60"/>
      <c r="Q123" s="60"/>
      <c r="R123" s="61"/>
      <c r="S123" s="56"/>
      <c r="T123" s="30"/>
      <c r="U123" s="56"/>
      <c r="V123" s="56"/>
      <c r="W123" s="56"/>
      <c r="X123" s="56"/>
      <c r="Y123" s="30"/>
      <c r="Z123" s="30"/>
      <c r="AA123" s="30"/>
      <c r="AB123" s="30"/>
      <c r="AC123" s="30"/>
      <c r="AD123" s="30"/>
    </row>
    <row r="124" spans="1:45" ht="15.75" customHeight="1">
      <c r="A124" s="52"/>
      <c r="B124" s="30"/>
      <c r="C124" s="30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9"/>
      <c r="P124" s="60"/>
      <c r="Q124" s="60"/>
      <c r="R124" s="61"/>
      <c r="S124" s="56"/>
      <c r="T124" s="30"/>
      <c r="U124" s="56"/>
      <c r="V124" s="56"/>
      <c r="W124" s="56"/>
      <c r="X124" s="56"/>
      <c r="Y124" s="30"/>
      <c r="Z124" s="30"/>
      <c r="AA124" s="30"/>
      <c r="AB124" s="30"/>
      <c r="AC124" s="30"/>
      <c r="AD124" s="30"/>
    </row>
    <row r="125" spans="1:45" ht="15.75" customHeight="1">
      <c r="A125" s="52"/>
      <c r="B125" s="30"/>
      <c r="C125" s="30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9"/>
      <c r="P125" s="60"/>
      <c r="Q125" s="60"/>
      <c r="R125" s="61"/>
      <c r="S125" s="56"/>
      <c r="T125" s="30"/>
      <c r="U125" s="56"/>
      <c r="V125" s="56"/>
      <c r="W125" s="56"/>
      <c r="X125" s="56"/>
      <c r="Y125" s="30"/>
      <c r="Z125" s="30"/>
      <c r="AA125" s="30"/>
      <c r="AB125" s="30"/>
      <c r="AC125" s="30"/>
      <c r="AD125" s="30"/>
    </row>
    <row r="126" spans="1:45" ht="15.75" customHeight="1">
      <c r="A126" s="52"/>
      <c r="B126" s="30"/>
      <c r="C126" s="30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9"/>
      <c r="P126" s="60"/>
      <c r="Q126" s="60"/>
      <c r="R126" s="61"/>
      <c r="S126" s="56"/>
      <c r="T126" s="30"/>
      <c r="U126" s="56"/>
      <c r="V126" s="56"/>
      <c r="W126" s="56"/>
      <c r="X126" s="56"/>
      <c r="Y126" s="30"/>
      <c r="Z126" s="30"/>
      <c r="AA126" s="30"/>
      <c r="AB126" s="30"/>
      <c r="AC126" s="30"/>
      <c r="AD126" s="30"/>
    </row>
    <row r="127" spans="1:45" ht="15.75" customHeight="1">
      <c r="A127" s="52"/>
      <c r="B127" s="30"/>
      <c r="C127" s="30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9"/>
      <c r="P127" s="60"/>
      <c r="Q127" s="60"/>
      <c r="R127" s="61"/>
      <c r="S127" s="56"/>
      <c r="T127" s="30"/>
      <c r="U127" s="56"/>
      <c r="V127" s="56"/>
      <c r="W127" s="56"/>
      <c r="X127" s="56"/>
      <c r="Y127" s="30"/>
      <c r="Z127" s="30"/>
      <c r="AA127" s="30"/>
      <c r="AB127" s="30"/>
      <c r="AC127" s="30"/>
      <c r="AD127" s="30"/>
    </row>
    <row r="128" spans="1:45" ht="15.75" customHeight="1">
      <c r="A128" s="52"/>
      <c r="B128" s="30"/>
      <c r="C128" s="30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9"/>
      <c r="P128" s="60"/>
      <c r="Q128" s="60"/>
      <c r="R128" s="61"/>
      <c r="S128" s="56"/>
      <c r="T128" s="30"/>
      <c r="U128" s="56"/>
      <c r="V128" s="56"/>
      <c r="W128" s="56"/>
      <c r="X128" s="56"/>
      <c r="Y128" s="30"/>
      <c r="Z128" s="30"/>
      <c r="AA128" s="30"/>
      <c r="AB128" s="30"/>
      <c r="AC128" s="30"/>
      <c r="AD128" s="30"/>
    </row>
    <row r="129" spans="1:30" ht="15.75" customHeight="1">
      <c r="A129" s="52"/>
      <c r="B129" s="30"/>
      <c r="C129" s="30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9"/>
      <c r="P129" s="60"/>
      <c r="Q129" s="60"/>
      <c r="R129" s="61"/>
      <c r="S129" s="56"/>
      <c r="T129" s="30"/>
      <c r="U129" s="56"/>
      <c r="V129" s="56"/>
      <c r="W129" s="56"/>
      <c r="X129" s="56"/>
      <c r="Y129" s="30"/>
      <c r="Z129" s="30"/>
      <c r="AA129" s="30"/>
      <c r="AB129" s="30"/>
      <c r="AC129" s="30"/>
      <c r="AD129" s="30"/>
    </row>
    <row r="130" spans="1:30" ht="15.75" customHeight="1">
      <c r="A130" s="52"/>
      <c r="B130" s="30"/>
      <c r="C130" s="30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9"/>
      <c r="P130" s="60"/>
      <c r="Q130" s="60"/>
      <c r="R130" s="61"/>
      <c r="S130" s="56"/>
      <c r="T130" s="30"/>
      <c r="U130" s="56"/>
      <c r="V130" s="56"/>
      <c r="W130" s="56"/>
      <c r="X130" s="56"/>
      <c r="Y130" s="30"/>
      <c r="Z130" s="30"/>
      <c r="AA130" s="30"/>
      <c r="AB130" s="30"/>
      <c r="AC130" s="30"/>
      <c r="AD130" s="30"/>
    </row>
    <row r="131" spans="1:30" ht="15.75" customHeight="1">
      <c r="A131" s="52"/>
      <c r="B131" s="30"/>
      <c r="C131" s="30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9"/>
      <c r="P131" s="60"/>
      <c r="Q131" s="60"/>
      <c r="R131" s="61"/>
      <c r="S131" s="56"/>
      <c r="T131" s="30"/>
      <c r="U131" s="56"/>
      <c r="V131" s="56"/>
      <c r="W131" s="56"/>
      <c r="X131" s="56"/>
      <c r="Y131" s="30"/>
      <c r="Z131" s="30"/>
      <c r="AA131" s="30"/>
      <c r="AB131" s="30"/>
      <c r="AC131" s="30"/>
      <c r="AD131" s="30"/>
    </row>
    <row r="132" spans="1:30" ht="15.75" customHeight="1">
      <c r="A132" s="52"/>
      <c r="B132" s="30"/>
      <c r="C132" s="30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9"/>
      <c r="P132" s="60"/>
      <c r="Q132" s="60"/>
      <c r="R132" s="61"/>
      <c r="S132" s="56"/>
      <c r="T132" s="30"/>
      <c r="U132" s="56"/>
      <c r="V132" s="56"/>
      <c r="W132" s="56"/>
      <c r="X132" s="56"/>
      <c r="Y132" s="30"/>
      <c r="Z132" s="30"/>
      <c r="AA132" s="30"/>
      <c r="AB132" s="30"/>
      <c r="AC132" s="30"/>
      <c r="AD132" s="30"/>
    </row>
    <row r="133" spans="1:30" ht="15.75" customHeight="1">
      <c r="A133" s="52"/>
      <c r="B133" s="30"/>
      <c r="C133" s="30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9"/>
      <c r="P133" s="60"/>
      <c r="Q133" s="60"/>
      <c r="R133" s="61"/>
      <c r="S133" s="56"/>
      <c r="T133" s="30"/>
      <c r="U133" s="56"/>
      <c r="V133" s="56"/>
      <c r="W133" s="56"/>
      <c r="X133" s="56"/>
      <c r="Y133" s="30"/>
      <c r="Z133" s="30"/>
      <c r="AA133" s="30"/>
      <c r="AB133" s="30"/>
      <c r="AC133" s="30"/>
      <c r="AD133" s="30"/>
    </row>
    <row r="134" spans="1:30" ht="15.75" customHeight="1">
      <c r="A134" s="52"/>
      <c r="B134" s="30"/>
      <c r="C134" s="30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9"/>
      <c r="P134" s="60"/>
      <c r="Q134" s="60"/>
      <c r="R134" s="61"/>
      <c r="S134" s="56"/>
      <c r="T134" s="30"/>
      <c r="U134" s="56"/>
      <c r="V134" s="56"/>
      <c r="W134" s="56"/>
      <c r="X134" s="56"/>
      <c r="Y134" s="30"/>
      <c r="Z134" s="30"/>
      <c r="AA134" s="30"/>
      <c r="AB134" s="30"/>
      <c r="AC134" s="30"/>
      <c r="AD134" s="30"/>
    </row>
    <row r="135" spans="1:30" ht="15.75" customHeight="1">
      <c r="A135" s="52"/>
      <c r="B135" s="30"/>
      <c r="C135" s="30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9"/>
      <c r="P135" s="60"/>
      <c r="Q135" s="60"/>
      <c r="R135" s="61"/>
      <c r="S135" s="56"/>
      <c r="T135" s="30"/>
      <c r="U135" s="56"/>
      <c r="V135" s="56"/>
      <c r="W135" s="56"/>
      <c r="X135" s="56"/>
      <c r="Y135" s="30"/>
      <c r="Z135" s="30"/>
      <c r="AA135" s="30"/>
      <c r="AB135" s="30"/>
      <c r="AC135" s="30"/>
      <c r="AD135" s="30"/>
    </row>
    <row r="136" spans="1:30" ht="15.75" customHeight="1">
      <c r="A136" s="52"/>
      <c r="B136" s="30"/>
      <c r="C136" s="30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9"/>
      <c r="P136" s="60"/>
      <c r="Q136" s="60"/>
      <c r="R136" s="61"/>
      <c r="S136" s="56"/>
      <c r="T136" s="30"/>
      <c r="U136" s="56"/>
      <c r="V136" s="56"/>
      <c r="W136" s="56"/>
      <c r="X136" s="56"/>
      <c r="Y136" s="30"/>
      <c r="Z136" s="30"/>
      <c r="AA136" s="30"/>
      <c r="AB136" s="30"/>
      <c r="AC136" s="30"/>
      <c r="AD136" s="30"/>
    </row>
    <row r="137" spans="1:30" ht="15.75" customHeight="1">
      <c r="A137" s="52"/>
      <c r="B137" s="30"/>
      <c r="C137" s="30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9"/>
      <c r="P137" s="60"/>
      <c r="Q137" s="60"/>
      <c r="R137" s="61"/>
      <c r="S137" s="56"/>
      <c r="T137" s="30"/>
      <c r="U137" s="56"/>
      <c r="V137" s="56"/>
      <c r="W137" s="56"/>
      <c r="X137" s="56"/>
      <c r="Y137" s="30"/>
      <c r="Z137" s="30"/>
      <c r="AA137" s="30"/>
      <c r="AB137" s="30"/>
      <c r="AC137" s="30"/>
      <c r="AD137" s="30"/>
    </row>
    <row r="138" spans="1:30" ht="15.75" customHeight="1">
      <c r="A138" s="52"/>
      <c r="B138" s="30"/>
      <c r="C138" s="30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9"/>
      <c r="P138" s="60"/>
      <c r="Q138" s="60"/>
      <c r="R138" s="61"/>
      <c r="S138" s="56"/>
      <c r="T138" s="30"/>
      <c r="U138" s="56"/>
      <c r="V138" s="56"/>
      <c r="W138" s="56"/>
      <c r="X138" s="56"/>
      <c r="Y138" s="30"/>
      <c r="Z138" s="30"/>
      <c r="AA138" s="30"/>
      <c r="AB138" s="30"/>
      <c r="AC138" s="30"/>
      <c r="AD138" s="30"/>
    </row>
    <row r="139" spans="1:30" ht="15.75" customHeight="1">
      <c r="A139" s="52"/>
      <c r="B139" s="30"/>
      <c r="C139" s="30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9"/>
      <c r="P139" s="60"/>
      <c r="Q139" s="60"/>
      <c r="R139" s="61"/>
      <c r="S139" s="56"/>
      <c r="T139" s="30"/>
      <c r="U139" s="56"/>
      <c r="V139" s="56"/>
      <c r="W139" s="56"/>
      <c r="X139" s="56"/>
      <c r="Y139" s="30"/>
      <c r="Z139" s="30"/>
      <c r="AA139" s="30"/>
      <c r="AB139" s="30"/>
      <c r="AC139" s="30"/>
      <c r="AD139" s="30"/>
    </row>
    <row r="140" spans="1:30" ht="15.75" customHeight="1">
      <c r="A140" s="52"/>
      <c r="B140" s="30"/>
      <c r="C140" s="30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9"/>
      <c r="P140" s="60"/>
      <c r="Q140" s="60"/>
      <c r="R140" s="61"/>
      <c r="S140" s="56"/>
      <c r="T140" s="30"/>
      <c r="U140" s="56"/>
      <c r="V140" s="56"/>
      <c r="W140" s="56"/>
      <c r="X140" s="56"/>
      <c r="Y140" s="30"/>
      <c r="Z140" s="30"/>
      <c r="AA140" s="30"/>
      <c r="AB140" s="30"/>
      <c r="AC140" s="30"/>
      <c r="AD140" s="30"/>
    </row>
    <row r="141" spans="1:30" ht="15.75" customHeight="1">
      <c r="A141" s="52"/>
      <c r="B141" s="30"/>
      <c r="C141" s="30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9"/>
      <c r="P141" s="60"/>
      <c r="Q141" s="60"/>
      <c r="R141" s="61"/>
      <c r="S141" s="56"/>
      <c r="T141" s="30"/>
      <c r="U141" s="56"/>
      <c r="V141" s="56"/>
      <c r="W141" s="56"/>
      <c r="X141" s="56"/>
      <c r="Y141" s="30"/>
      <c r="Z141" s="30"/>
      <c r="AA141" s="30"/>
      <c r="AB141" s="30"/>
      <c r="AC141" s="30"/>
      <c r="AD141" s="30"/>
    </row>
    <row r="142" spans="1:30" ht="15.75" customHeight="1">
      <c r="A142" s="52"/>
      <c r="B142" s="30"/>
      <c r="C142" s="30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9"/>
      <c r="P142" s="60"/>
      <c r="Q142" s="60"/>
      <c r="R142" s="61"/>
      <c r="S142" s="56"/>
      <c r="T142" s="30"/>
      <c r="U142" s="56"/>
      <c r="V142" s="56"/>
      <c r="W142" s="56"/>
      <c r="X142" s="56"/>
      <c r="Y142" s="30"/>
      <c r="Z142" s="30"/>
      <c r="AA142" s="30"/>
      <c r="AB142" s="30"/>
      <c r="AC142" s="30"/>
      <c r="AD142" s="30"/>
    </row>
    <row r="143" spans="1:30" ht="15.75" customHeight="1">
      <c r="A143" s="52"/>
      <c r="B143" s="30"/>
      <c r="C143" s="30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9"/>
      <c r="P143" s="60"/>
      <c r="Q143" s="60"/>
      <c r="R143" s="61"/>
      <c r="S143" s="56"/>
      <c r="T143" s="30"/>
      <c r="U143" s="56"/>
      <c r="V143" s="56"/>
      <c r="W143" s="56"/>
      <c r="X143" s="56"/>
      <c r="Y143" s="30"/>
      <c r="Z143" s="30"/>
      <c r="AA143" s="30"/>
      <c r="AB143" s="30"/>
      <c r="AC143" s="30"/>
      <c r="AD143" s="30"/>
    </row>
    <row r="144" spans="1:30" ht="15.75" customHeight="1">
      <c r="A144" s="52"/>
      <c r="B144" s="30"/>
      <c r="C144" s="30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9"/>
      <c r="P144" s="60"/>
      <c r="Q144" s="60"/>
      <c r="R144" s="61"/>
      <c r="S144" s="56"/>
      <c r="T144" s="30"/>
      <c r="U144" s="56"/>
      <c r="V144" s="56"/>
      <c r="W144" s="56"/>
      <c r="X144" s="56"/>
      <c r="Y144" s="30"/>
      <c r="Z144" s="30"/>
      <c r="AA144" s="30"/>
      <c r="AB144" s="30"/>
      <c r="AC144" s="30"/>
      <c r="AD144" s="30"/>
    </row>
    <row r="145" spans="1:30" ht="15.75" customHeight="1">
      <c r="A145" s="52"/>
      <c r="B145" s="30"/>
      <c r="C145" s="30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9"/>
      <c r="P145" s="60"/>
      <c r="Q145" s="60"/>
      <c r="R145" s="61"/>
      <c r="S145" s="56"/>
      <c r="T145" s="30"/>
      <c r="U145" s="56"/>
      <c r="V145" s="56"/>
      <c r="W145" s="56"/>
      <c r="X145" s="56"/>
      <c r="Y145" s="30"/>
      <c r="Z145" s="30"/>
      <c r="AA145" s="30"/>
      <c r="AB145" s="30"/>
      <c r="AC145" s="30"/>
      <c r="AD145" s="30"/>
    </row>
    <row r="146" spans="1:30" ht="15.75" customHeight="1">
      <c r="A146" s="52"/>
      <c r="B146" s="30"/>
      <c r="C146" s="30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9"/>
      <c r="P146" s="60"/>
      <c r="Q146" s="60"/>
      <c r="R146" s="61"/>
      <c r="S146" s="56"/>
      <c r="T146" s="30"/>
      <c r="U146" s="56"/>
      <c r="V146" s="56"/>
      <c r="W146" s="56"/>
      <c r="X146" s="56"/>
      <c r="Y146" s="30"/>
      <c r="Z146" s="30"/>
      <c r="AA146" s="30"/>
      <c r="AB146" s="30"/>
      <c r="AC146" s="30"/>
      <c r="AD146" s="30"/>
    </row>
    <row r="147" spans="1:30" ht="15.75" customHeight="1">
      <c r="A147" s="52"/>
      <c r="B147" s="30"/>
      <c r="C147" s="30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9"/>
      <c r="P147" s="60"/>
      <c r="Q147" s="60"/>
      <c r="R147" s="61"/>
      <c r="S147" s="56"/>
      <c r="T147" s="30"/>
      <c r="U147" s="56"/>
      <c r="V147" s="56"/>
      <c r="W147" s="56"/>
      <c r="X147" s="56"/>
      <c r="Y147" s="30"/>
      <c r="Z147" s="30"/>
      <c r="AA147" s="30"/>
      <c r="AB147" s="30"/>
      <c r="AC147" s="30"/>
      <c r="AD147" s="30"/>
    </row>
    <row r="148" spans="1:30" ht="15.75" customHeight="1">
      <c r="A148" s="52"/>
      <c r="B148" s="30"/>
      <c r="C148" s="30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9"/>
      <c r="P148" s="60"/>
      <c r="Q148" s="60"/>
      <c r="R148" s="61"/>
      <c r="S148" s="56"/>
      <c r="T148" s="30"/>
      <c r="U148" s="56"/>
      <c r="V148" s="56"/>
      <c r="W148" s="56"/>
      <c r="X148" s="56"/>
      <c r="Y148" s="30"/>
      <c r="Z148" s="30"/>
      <c r="AA148" s="30"/>
      <c r="AB148" s="30"/>
      <c r="AC148" s="30"/>
      <c r="AD148" s="30"/>
    </row>
    <row r="149" spans="1:30" ht="15.75" customHeight="1">
      <c r="A149" s="52"/>
      <c r="B149" s="30"/>
      <c r="C149" s="30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9"/>
      <c r="P149" s="60"/>
      <c r="Q149" s="60"/>
      <c r="R149" s="61"/>
      <c r="S149" s="56"/>
      <c r="T149" s="30"/>
      <c r="U149" s="56"/>
      <c r="V149" s="56"/>
      <c r="W149" s="56"/>
      <c r="X149" s="56"/>
      <c r="Y149" s="30"/>
      <c r="Z149" s="30"/>
      <c r="AA149" s="30"/>
      <c r="AB149" s="30"/>
      <c r="AC149" s="30"/>
      <c r="AD149" s="30"/>
    </row>
    <row r="150" spans="1:30" ht="15.75" customHeight="1">
      <c r="A150" s="52"/>
      <c r="B150" s="30"/>
      <c r="C150" s="30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9"/>
      <c r="P150" s="60"/>
      <c r="Q150" s="60"/>
      <c r="R150" s="61"/>
      <c r="S150" s="56"/>
      <c r="T150" s="30"/>
      <c r="U150" s="56"/>
      <c r="V150" s="56"/>
      <c r="W150" s="56"/>
      <c r="X150" s="56"/>
      <c r="Y150" s="30"/>
      <c r="Z150" s="30"/>
      <c r="AA150" s="30"/>
      <c r="AB150" s="30"/>
      <c r="AC150" s="30"/>
      <c r="AD150" s="30"/>
    </row>
    <row r="151" spans="1:30" ht="15.75" customHeight="1">
      <c r="A151" s="52"/>
      <c r="B151" s="30"/>
      <c r="C151" s="30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9"/>
      <c r="P151" s="60"/>
      <c r="Q151" s="60"/>
      <c r="R151" s="61"/>
      <c r="S151" s="56"/>
      <c r="T151" s="30"/>
      <c r="U151" s="56"/>
      <c r="V151" s="56"/>
      <c r="W151" s="56"/>
      <c r="X151" s="56"/>
      <c r="Y151" s="30"/>
      <c r="Z151" s="30"/>
      <c r="AA151" s="30"/>
      <c r="AB151" s="30"/>
      <c r="AC151" s="30"/>
      <c r="AD151" s="30"/>
    </row>
    <row r="152" spans="1:30" ht="15.75" customHeight="1">
      <c r="A152" s="52"/>
      <c r="B152" s="30"/>
      <c r="C152" s="30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9"/>
      <c r="P152" s="60"/>
      <c r="Q152" s="60"/>
      <c r="R152" s="61"/>
      <c r="S152" s="56"/>
      <c r="T152" s="30"/>
      <c r="U152" s="56"/>
      <c r="V152" s="56"/>
      <c r="W152" s="56"/>
      <c r="X152" s="56"/>
      <c r="Y152" s="30"/>
      <c r="Z152" s="30"/>
      <c r="AA152" s="30"/>
      <c r="AB152" s="30"/>
      <c r="AC152" s="30"/>
      <c r="AD152" s="30"/>
    </row>
    <row r="153" spans="1:30" ht="15.75" customHeight="1">
      <c r="A153" s="52"/>
      <c r="B153" s="30"/>
      <c r="C153" s="30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9"/>
      <c r="P153" s="60"/>
      <c r="Q153" s="60"/>
      <c r="R153" s="61"/>
      <c r="S153" s="56"/>
      <c r="T153" s="30"/>
      <c r="U153" s="56"/>
      <c r="V153" s="56"/>
      <c r="W153" s="56"/>
      <c r="X153" s="56"/>
      <c r="Y153" s="30"/>
      <c r="Z153" s="30"/>
      <c r="AA153" s="30"/>
      <c r="AB153" s="30"/>
      <c r="AC153" s="30"/>
      <c r="AD153" s="30"/>
    </row>
    <row r="154" spans="1:30" ht="15.75" customHeight="1">
      <c r="A154" s="52"/>
      <c r="B154" s="30"/>
      <c r="C154" s="30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9"/>
      <c r="P154" s="60"/>
      <c r="Q154" s="60"/>
      <c r="R154" s="61"/>
      <c r="S154" s="56"/>
      <c r="T154" s="30"/>
      <c r="U154" s="56"/>
      <c r="V154" s="56"/>
      <c r="W154" s="56"/>
      <c r="X154" s="56"/>
      <c r="Y154" s="30"/>
      <c r="Z154" s="30"/>
      <c r="AA154" s="30"/>
      <c r="AB154" s="30"/>
      <c r="AC154" s="30"/>
      <c r="AD154" s="30"/>
    </row>
    <row r="155" spans="1:30" ht="15.75" customHeight="1">
      <c r="A155" s="52"/>
      <c r="B155" s="30"/>
      <c r="C155" s="30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9"/>
      <c r="P155" s="60"/>
      <c r="Q155" s="60"/>
      <c r="R155" s="61"/>
      <c r="S155" s="56"/>
      <c r="T155" s="30"/>
      <c r="U155" s="56"/>
      <c r="V155" s="56"/>
      <c r="W155" s="56"/>
      <c r="X155" s="56"/>
      <c r="Y155" s="30"/>
      <c r="Z155" s="30"/>
      <c r="AA155" s="30"/>
      <c r="AB155" s="30"/>
      <c r="AC155" s="30"/>
      <c r="AD155" s="30"/>
    </row>
    <row r="156" spans="1:30" ht="15.75" customHeight="1">
      <c r="A156" s="52"/>
      <c r="B156" s="30"/>
      <c r="C156" s="30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9"/>
      <c r="P156" s="60"/>
      <c r="Q156" s="60"/>
      <c r="R156" s="61"/>
      <c r="S156" s="56"/>
      <c r="T156" s="30"/>
      <c r="U156" s="56"/>
      <c r="V156" s="56"/>
      <c r="W156" s="56"/>
      <c r="X156" s="56"/>
      <c r="Y156" s="30"/>
      <c r="Z156" s="30"/>
      <c r="AA156" s="30"/>
      <c r="AB156" s="30"/>
      <c r="AC156" s="30"/>
      <c r="AD156" s="30"/>
    </row>
    <row r="157" spans="1:30" ht="15.75" customHeight="1">
      <c r="A157" s="52"/>
      <c r="B157" s="30"/>
      <c r="C157" s="30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9"/>
      <c r="P157" s="60"/>
      <c r="Q157" s="60"/>
      <c r="R157" s="61"/>
      <c r="S157" s="56"/>
      <c r="T157" s="30"/>
      <c r="U157" s="56"/>
      <c r="V157" s="56"/>
      <c r="W157" s="56"/>
      <c r="X157" s="56"/>
      <c r="Y157" s="30"/>
      <c r="Z157" s="30"/>
      <c r="AA157" s="30"/>
      <c r="AB157" s="30"/>
      <c r="AC157" s="30"/>
      <c r="AD157" s="30"/>
    </row>
    <row r="158" spans="1:30" ht="15.75" customHeight="1">
      <c r="A158" s="52"/>
      <c r="B158" s="30"/>
      <c r="C158" s="30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9"/>
      <c r="P158" s="60"/>
      <c r="Q158" s="60"/>
      <c r="R158" s="61"/>
      <c r="S158" s="56"/>
      <c r="T158" s="30"/>
      <c r="U158" s="56"/>
      <c r="V158" s="56"/>
      <c r="W158" s="56"/>
      <c r="X158" s="56"/>
      <c r="Y158" s="30"/>
      <c r="Z158" s="30"/>
      <c r="AA158" s="30"/>
      <c r="AB158" s="30"/>
      <c r="AC158" s="30"/>
      <c r="AD158" s="30"/>
    </row>
    <row r="159" spans="1:30" ht="15.75" customHeight="1">
      <c r="A159" s="52"/>
      <c r="B159" s="30"/>
      <c r="C159" s="30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9"/>
      <c r="P159" s="60"/>
      <c r="Q159" s="60"/>
      <c r="R159" s="61"/>
      <c r="S159" s="56"/>
      <c r="T159" s="30"/>
      <c r="U159" s="56"/>
      <c r="V159" s="56"/>
      <c r="W159" s="56"/>
      <c r="X159" s="56"/>
      <c r="Y159" s="30"/>
      <c r="Z159" s="30"/>
      <c r="AA159" s="30"/>
      <c r="AB159" s="30"/>
      <c r="AC159" s="30"/>
      <c r="AD159" s="30"/>
    </row>
    <row r="160" spans="1:30" ht="15.75" customHeight="1">
      <c r="A160" s="52"/>
      <c r="B160" s="30"/>
      <c r="C160" s="30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9"/>
      <c r="P160" s="60"/>
      <c r="Q160" s="60"/>
      <c r="R160" s="61"/>
      <c r="S160" s="56"/>
      <c r="T160" s="30"/>
      <c r="U160" s="56"/>
      <c r="V160" s="56"/>
      <c r="W160" s="56"/>
      <c r="X160" s="56"/>
      <c r="Y160" s="30"/>
      <c r="Z160" s="30"/>
      <c r="AA160" s="30"/>
      <c r="AB160" s="30"/>
      <c r="AC160" s="30"/>
      <c r="AD160" s="30"/>
    </row>
    <row r="161" spans="1:30" ht="15.75" customHeight="1">
      <c r="A161" s="52"/>
      <c r="B161" s="30"/>
      <c r="C161" s="30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9"/>
      <c r="P161" s="60"/>
      <c r="Q161" s="60"/>
      <c r="R161" s="61"/>
      <c r="S161" s="56"/>
      <c r="T161" s="30"/>
      <c r="U161" s="56"/>
      <c r="V161" s="56"/>
      <c r="W161" s="56"/>
      <c r="X161" s="56"/>
      <c r="Y161" s="30"/>
      <c r="Z161" s="30"/>
      <c r="AA161" s="30"/>
      <c r="AB161" s="30"/>
      <c r="AC161" s="30"/>
      <c r="AD161" s="30"/>
    </row>
    <row r="162" spans="1:30" ht="15.75" customHeight="1">
      <c r="A162" s="52"/>
      <c r="B162" s="30"/>
      <c r="C162" s="30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9"/>
      <c r="P162" s="60"/>
      <c r="Q162" s="60"/>
      <c r="R162" s="61"/>
      <c r="S162" s="56"/>
      <c r="T162" s="30"/>
      <c r="U162" s="56"/>
      <c r="V162" s="56"/>
      <c r="W162" s="56"/>
      <c r="X162" s="56"/>
      <c r="Y162" s="30"/>
      <c r="Z162" s="30"/>
      <c r="AA162" s="30"/>
      <c r="AB162" s="30"/>
      <c r="AC162" s="30"/>
      <c r="AD162" s="30"/>
    </row>
    <row r="163" spans="1:30" ht="15.75" customHeight="1">
      <c r="A163" s="52"/>
      <c r="B163" s="30"/>
      <c r="C163" s="30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9"/>
      <c r="P163" s="60"/>
      <c r="Q163" s="60"/>
      <c r="R163" s="61"/>
      <c r="S163" s="56"/>
      <c r="T163" s="30"/>
      <c r="U163" s="56"/>
      <c r="V163" s="56"/>
      <c r="W163" s="56"/>
      <c r="X163" s="56"/>
      <c r="Y163" s="30"/>
      <c r="Z163" s="30"/>
      <c r="AA163" s="30"/>
      <c r="AB163" s="30"/>
      <c r="AC163" s="30"/>
      <c r="AD163" s="30"/>
    </row>
    <row r="164" spans="1:30" ht="15.75" customHeight="1">
      <c r="A164" s="52"/>
      <c r="B164" s="30"/>
      <c r="C164" s="30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9"/>
      <c r="P164" s="60"/>
      <c r="Q164" s="60"/>
      <c r="R164" s="61"/>
      <c r="S164" s="56"/>
      <c r="T164" s="30"/>
      <c r="U164" s="56"/>
      <c r="V164" s="56"/>
      <c r="W164" s="56"/>
      <c r="X164" s="56"/>
      <c r="Y164" s="30"/>
      <c r="Z164" s="30"/>
      <c r="AA164" s="30"/>
      <c r="AB164" s="30"/>
      <c r="AC164" s="30"/>
      <c r="AD164" s="30"/>
    </row>
    <row r="165" spans="1:30" ht="15.75" customHeight="1">
      <c r="A165" s="52"/>
      <c r="B165" s="30"/>
      <c r="C165" s="30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9"/>
      <c r="P165" s="60"/>
      <c r="Q165" s="60"/>
      <c r="R165" s="61"/>
      <c r="S165" s="56"/>
      <c r="T165" s="30"/>
      <c r="U165" s="56"/>
      <c r="V165" s="56"/>
      <c r="W165" s="56"/>
      <c r="X165" s="56"/>
      <c r="Y165" s="30"/>
      <c r="Z165" s="30"/>
      <c r="AA165" s="30"/>
      <c r="AB165" s="30"/>
      <c r="AC165" s="30"/>
      <c r="AD165" s="30"/>
    </row>
    <row r="166" spans="1:30" ht="15.75" customHeight="1">
      <c r="A166" s="52"/>
      <c r="B166" s="30"/>
      <c r="C166" s="30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9"/>
      <c r="P166" s="60"/>
      <c r="Q166" s="60"/>
      <c r="R166" s="61"/>
      <c r="S166" s="56"/>
      <c r="T166" s="30"/>
      <c r="U166" s="56"/>
      <c r="V166" s="56"/>
      <c r="W166" s="56"/>
      <c r="X166" s="56"/>
      <c r="Y166" s="30"/>
      <c r="Z166" s="30"/>
      <c r="AA166" s="30"/>
      <c r="AB166" s="30"/>
      <c r="AC166" s="30"/>
      <c r="AD166" s="30"/>
    </row>
    <row r="167" spans="1:30" ht="15.75" customHeight="1">
      <c r="A167" s="52"/>
      <c r="B167" s="30"/>
      <c r="C167" s="30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9"/>
      <c r="P167" s="60"/>
      <c r="Q167" s="60"/>
      <c r="R167" s="61"/>
      <c r="S167" s="56"/>
      <c r="T167" s="30"/>
      <c r="U167" s="56"/>
      <c r="V167" s="56"/>
      <c r="W167" s="56"/>
      <c r="X167" s="56"/>
      <c r="Y167" s="30"/>
      <c r="Z167" s="30"/>
      <c r="AA167" s="30"/>
      <c r="AB167" s="30"/>
      <c r="AC167" s="30"/>
      <c r="AD167" s="30"/>
    </row>
    <row r="168" spans="1:30" ht="15.75" customHeight="1">
      <c r="A168" s="52"/>
      <c r="B168" s="30"/>
      <c r="C168" s="30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9"/>
      <c r="P168" s="60"/>
      <c r="Q168" s="60"/>
      <c r="R168" s="61"/>
      <c r="S168" s="56"/>
      <c r="T168" s="30"/>
      <c r="U168" s="56"/>
      <c r="V168" s="56"/>
      <c r="W168" s="56"/>
      <c r="X168" s="56"/>
      <c r="Y168" s="30"/>
      <c r="Z168" s="30"/>
      <c r="AA168" s="30"/>
      <c r="AB168" s="30"/>
      <c r="AC168" s="30"/>
      <c r="AD168" s="30"/>
    </row>
    <row r="169" spans="1:30" ht="15.75" customHeight="1">
      <c r="A169" s="52"/>
      <c r="B169" s="30"/>
      <c r="C169" s="30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9"/>
      <c r="P169" s="60"/>
      <c r="Q169" s="60"/>
      <c r="R169" s="61"/>
      <c r="S169" s="56"/>
      <c r="T169" s="30"/>
      <c r="U169" s="56"/>
      <c r="V169" s="56"/>
      <c r="W169" s="56"/>
      <c r="X169" s="56"/>
      <c r="Y169" s="30"/>
      <c r="Z169" s="30"/>
      <c r="AA169" s="30"/>
      <c r="AB169" s="30"/>
      <c r="AC169" s="30"/>
      <c r="AD169" s="30"/>
    </row>
    <row r="170" spans="1:30" ht="15.75" customHeight="1">
      <c r="A170" s="52"/>
      <c r="B170" s="30"/>
      <c r="C170" s="30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9"/>
      <c r="P170" s="60"/>
      <c r="Q170" s="60"/>
      <c r="R170" s="61"/>
      <c r="S170" s="56"/>
      <c r="T170" s="30"/>
      <c r="U170" s="56"/>
      <c r="V170" s="56"/>
      <c r="W170" s="56"/>
      <c r="X170" s="56"/>
      <c r="Y170" s="30"/>
      <c r="Z170" s="30"/>
      <c r="AA170" s="30"/>
      <c r="AB170" s="30"/>
      <c r="AC170" s="30"/>
      <c r="AD170" s="30"/>
    </row>
    <row r="171" spans="1:30" ht="15.75" customHeight="1">
      <c r="A171" s="52"/>
      <c r="B171" s="30"/>
      <c r="C171" s="30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9"/>
      <c r="P171" s="60"/>
      <c r="Q171" s="60"/>
      <c r="R171" s="61"/>
      <c r="S171" s="56"/>
      <c r="T171" s="30"/>
      <c r="U171" s="56"/>
      <c r="V171" s="56"/>
      <c r="W171" s="56"/>
      <c r="X171" s="56"/>
      <c r="Y171" s="30"/>
      <c r="Z171" s="30"/>
      <c r="AA171" s="30"/>
      <c r="AB171" s="30"/>
      <c r="AC171" s="30"/>
      <c r="AD171" s="30"/>
    </row>
    <row r="172" spans="1:30" ht="15.75" customHeight="1">
      <c r="A172" s="52"/>
      <c r="B172" s="30"/>
      <c r="C172" s="30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9"/>
      <c r="P172" s="60"/>
      <c r="Q172" s="60"/>
      <c r="R172" s="61"/>
      <c r="S172" s="56"/>
      <c r="T172" s="30"/>
      <c r="U172" s="56"/>
      <c r="V172" s="56"/>
      <c r="W172" s="56"/>
      <c r="X172" s="56"/>
      <c r="Y172" s="30"/>
      <c r="Z172" s="30"/>
      <c r="AA172" s="30"/>
      <c r="AB172" s="30"/>
      <c r="AC172" s="30"/>
      <c r="AD172" s="30"/>
    </row>
    <row r="173" spans="1:30" ht="15.75" customHeight="1">
      <c r="A173" s="52"/>
      <c r="B173" s="30"/>
      <c r="C173" s="30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9"/>
      <c r="P173" s="60"/>
      <c r="Q173" s="60"/>
      <c r="R173" s="61"/>
      <c r="S173" s="56"/>
      <c r="T173" s="30"/>
      <c r="U173" s="56"/>
      <c r="V173" s="56"/>
      <c r="W173" s="56"/>
      <c r="X173" s="56"/>
      <c r="Y173" s="30"/>
      <c r="Z173" s="30"/>
      <c r="AA173" s="30"/>
      <c r="AB173" s="30"/>
      <c r="AC173" s="30"/>
      <c r="AD173" s="30"/>
    </row>
    <row r="174" spans="1:30" ht="15.75" customHeight="1">
      <c r="A174" s="52"/>
      <c r="B174" s="30"/>
      <c r="C174" s="30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9"/>
      <c r="P174" s="60"/>
      <c r="Q174" s="60"/>
      <c r="R174" s="61"/>
      <c r="S174" s="56"/>
      <c r="T174" s="30"/>
      <c r="U174" s="56"/>
      <c r="V174" s="56"/>
      <c r="W174" s="56"/>
      <c r="X174" s="56"/>
      <c r="Y174" s="30"/>
      <c r="Z174" s="30"/>
      <c r="AA174" s="30"/>
      <c r="AB174" s="30"/>
      <c r="AC174" s="30"/>
      <c r="AD174" s="30"/>
    </row>
    <row r="175" spans="1:30" ht="15.75" customHeight="1">
      <c r="A175" s="52"/>
      <c r="B175" s="30"/>
      <c r="C175" s="30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9"/>
      <c r="P175" s="60"/>
      <c r="Q175" s="60"/>
      <c r="R175" s="61"/>
      <c r="S175" s="56"/>
      <c r="T175" s="30"/>
      <c r="U175" s="56"/>
      <c r="V175" s="56"/>
      <c r="W175" s="56"/>
      <c r="X175" s="56"/>
      <c r="Y175" s="30"/>
      <c r="Z175" s="30"/>
      <c r="AA175" s="30"/>
      <c r="AB175" s="30"/>
      <c r="AC175" s="30"/>
      <c r="AD175" s="30"/>
    </row>
    <row r="176" spans="1:30" ht="15.75" customHeight="1">
      <c r="A176" s="52"/>
      <c r="B176" s="30"/>
      <c r="C176" s="30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9"/>
      <c r="P176" s="60"/>
      <c r="Q176" s="60"/>
      <c r="R176" s="61"/>
      <c r="S176" s="56"/>
      <c r="T176" s="30"/>
      <c r="U176" s="56"/>
      <c r="V176" s="56"/>
      <c r="W176" s="56"/>
      <c r="X176" s="56"/>
      <c r="Y176" s="30"/>
      <c r="Z176" s="30"/>
      <c r="AA176" s="30"/>
      <c r="AB176" s="30"/>
      <c r="AC176" s="30"/>
      <c r="AD176" s="30"/>
    </row>
    <row r="177" spans="1:30" ht="15.75" customHeight="1">
      <c r="A177" s="52"/>
      <c r="B177" s="30"/>
      <c r="C177" s="30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9"/>
      <c r="P177" s="60"/>
      <c r="Q177" s="60"/>
      <c r="R177" s="61"/>
      <c r="S177" s="56"/>
      <c r="T177" s="30"/>
      <c r="U177" s="56"/>
      <c r="V177" s="56"/>
      <c r="W177" s="56"/>
      <c r="X177" s="56"/>
      <c r="Y177" s="30"/>
      <c r="Z177" s="30"/>
      <c r="AA177" s="30"/>
      <c r="AB177" s="30"/>
      <c r="AC177" s="30"/>
      <c r="AD177" s="30"/>
    </row>
    <row r="178" spans="1:30" ht="15.75" customHeight="1">
      <c r="A178" s="52"/>
      <c r="B178" s="30"/>
      <c r="C178" s="30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9"/>
      <c r="P178" s="60"/>
      <c r="Q178" s="60"/>
      <c r="R178" s="61"/>
      <c r="S178" s="56"/>
      <c r="T178" s="30"/>
      <c r="U178" s="56"/>
      <c r="V178" s="56"/>
      <c r="W178" s="56"/>
      <c r="X178" s="56"/>
      <c r="Y178" s="30"/>
      <c r="Z178" s="30"/>
      <c r="AA178" s="30"/>
      <c r="AB178" s="30"/>
      <c r="AC178" s="30"/>
      <c r="AD178" s="30"/>
    </row>
    <row r="179" spans="1:30" ht="15.75" customHeight="1">
      <c r="A179" s="52"/>
      <c r="B179" s="30"/>
      <c r="C179" s="30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9"/>
      <c r="P179" s="60"/>
      <c r="Q179" s="60"/>
      <c r="R179" s="61"/>
      <c r="S179" s="56"/>
      <c r="T179" s="30"/>
      <c r="U179" s="56"/>
      <c r="V179" s="56"/>
      <c r="W179" s="56"/>
      <c r="X179" s="56"/>
      <c r="Y179" s="30"/>
      <c r="Z179" s="30"/>
      <c r="AA179" s="30"/>
      <c r="AB179" s="30"/>
      <c r="AC179" s="30"/>
      <c r="AD179" s="30"/>
    </row>
    <row r="180" spans="1:30" ht="15.75" customHeight="1">
      <c r="A180" s="52"/>
      <c r="B180" s="30"/>
      <c r="C180" s="30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9"/>
      <c r="P180" s="60"/>
      <c r="Q180" s="60"/>
      <c r="R180" s="61"/>
      <c r="S180" s="56"/>
      <c r="T180" s="30"/>
      <c r="U180" s="56"/>
      <c r="V180" s="56"/>
      <c r="W180" s="56"/>
      <c r="X180" s="56"/>
      <c r="Y180" s="30"/>
      <c r="Z180" s="30"/>
      <c r="AA180" s="30"/>
      <c r="AB180" s="30"/>
      <c r="AC180" s="30"/>
      <c r="AD180" s="30"/>
    </row>
    <row r="181" spans="1:30" ht="15.75" customHeight="1">
      <c r="A181" s="52"/>
      <c r="B181" s="30"/>
      <c r="C181" s="30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9"/>
      <c r="P181" s="60"/>
      <c r="Q181" s="60"/>
      <c r="R181" s="61"/>
      <c r="S181" s="56"/>
      <c r="T181" s="30"/>
      <c r="U181" s="56"/>
      <c r="V181" s="56"/>
      <c r="W181" s="56"/>
      <c r="X181" s="56"/>
      <c r="Y181" s="30"/>
      <c r="Z181" s="30"/>
      <c r="AA181" s="30"/>
      <c r="AB181" s="30"/>
      <c r="AC181" s="30"/>
      <c r="AD181" s="30"/>
    </row>
    <row r="182" spans="1:30" ht="15.75" customHeight="1">
      <c r="A182" s="52"/>
      <c r="B182" s="30"/>
      <c r="C182" s="30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9"/>
      <c r="P182" s="60"/>
      <c r="Q182" s="60"/>
      <c r="R182" s="61"/>
      <c r="S182" s="56"/>
      <c r="T182" s="30"/>
      <c r="U182" s="56"/>
      <c r="V182" s="56"/>
      <c r="W182" s="56"/>
      <c r="X182" s="56"/>
      <c r="Y182" s="30"/>
      <c r="Z182" s="30"/>
      <c r="AA182" s="30"/>
      <c r="AB182" s="30"/>
      <c r="AC182" s="30"/>
      <c r="AD182" s="30"/>
    </row>
    <row r="183" spans="1:30" ht="15.75" customHeight="1">
      <c r="A183" s="52"/>
      <c r="B183" s="30"/>
      <c r="C183" s="30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9"/>
      <c r="P183" s="60"/>
      <c r="Q183" s="60"/>
      <c r="R183" s="61"/>
      <c r="S183" s="56"/>
      <c r="T183" s="30"/>
      <c r="U183" s="56"/>
      <c r="V183" s="56"/>
      <c r="W183" s="56"/>
      <c r="X183" s="56"/>
      <c r="Y183" s="30"/>
      <c r="Z183" s="30"/>
      <c r="AA183" s="30"/>
      <c r="AB183" s="30"/>
      <c r="AC183" s="30"/>
      <c r="AD183" s="30"/>
    </row>
    <row r="184" spans="1:30" ht="15.75" customHeight="1">
      <c r="A184" s="52"/>
      <c r="B184" s="30"/>
      <c r="C184" s="30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9"/>
      <c r="P184" s="60"/>
      <c r="Q184" s="60"/>
      <c r="R184" s="61"/>
      <c r="S184" s="56"/>
      <c r="T184" s="30"/>
      <c r="U184" s="56"/>
      <c r="V184" s="56"/>
      <c r="W184" s="56"/>
      <c r="X184" s="56"/>
      <c r="Y184" s="30"/>
      <c r="Z184" s="30"/>
      <c r="AA184" s="30"/>
      <c r="AB184" s="30"/>
      <c r="AC184" s="30"/>
      <c r="AD184" s="30"/>
    </row>
    <row r="185" spans="1:30" ht="15.75" customHeight="1">
      <c r="A185" s="52"/>
      <c r="B185" s="30"/>
      <c r="C185" s="30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9"/>
      <c r="P185" s="60"/>
      <c r="Q185" s="60"/>
      <c r="R185" s="61"/>
      <c r="S185" s="56"/>
      <c r="T185" s="30"/>
      <c r="U185" s="56"/>
      <c r="V185" s="56"/>
      <c r="W185" s="56"/>
      <c r="X185" s="56"/>
      <c r="Y185" s="30"/>
      <c r="Z185" s="30"/>
      <c r="AA185" s="30"/>
      <c r="AB185" s="30"/>
      <c r="AC185" s="30"/>
      <c r="AD185" s="30"/>
    </row>
    <row r="186" spans="1:30" ht="15.75" customHeight="1">
      <c r="A186" s="52"/>
      <c r="B186" s="30"/>
      <c r="C186" s="30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9"/>
      <c r="P186" s="60"/>
      <c r="Q186" s="60"/>
      <c r="R186" s="61"/>
      <c r="S186" s="56"/>
      <c r="T186" s="30"/>
      <c r="U186" s="56"/>
      <c r="V186" s="56"/>
      <c r="W186" s="56"/>
      <c r="X186" s="56"/>
      <c r="Y186" s="30"/>
      <c r="Z186" s="30"/>
      <c r="AA186" s="30"/>
      <c r="AB186" s="30"/>
      <c r="AC186" s="30"/>
      <c r="AD186" s="30"/>
    </row>
    <row r="187" spans="1:30" ht="15.75" customHeight="1">
      <c r="A187" s="52"/>
      <c r="B187" s="30"/>
      <c r="C187" s="30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9"/>
      <c r="P187" s="60"/>
      <c r="Q187" s="60"/>
      <c r="R187" s="61"/>
      <c r="S187" s="56"/>
      <c r="T187" s="30"/>
      <c r="U187" s="56"/>
      <c r="V187" s="56"/>
      <c r="W187" s="56"/>
      <c r="X187" s="56"/>
      <c r="Y187" s="30"/>
      <c r="Z187" s="30"/>
      <c r="AA187" s="30"/>
      <c r="AB187" s="30"/>
      <c r="AC187" s="30"/>
      <c r="AD187" s="30"/>
    </row>
    <row r="188" spans="1:30" ht="15.75" customHeight="1">
      <c r="A188" s="52"/>
      <c r="B188" s="30"/>
      <c r="C188" s="30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9"/>
      <c r="P188" s="60"/>
      <c r="Q188" s="60"/>
      <c r="R188" s="61"/>
      <c r="S188" s="56"/>
      <c r="T188" s="30"/>
      <c r="U188" s="56"/>
      <c r="V188" s="56"/>
      <c r="W188" s="56"/>
      <c r="X188" s="56"/>
      <c r="Y188" s="30"/>
      <c r="Z188" s="30"/>
      <c r="AA188" s="30"/>
      <c r="AB188" s="30"/>
      <c r="AC188" s="30"/>
      <c r="AD188" s="30"/>
    </row>
    <row r="189" spans="1:30" ht="15.75" customHeight="1">
      <c r="A189" s="52"/>
      <c r="B189" s="30"/>
      <c r="C189" s="30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9"/>
      <c r="P189" s="60"/>
      <c r="Q189" s="60"/>
      <c r="R189" s="61"/>
      <c r="S189" s="56"/>
      <c r="T189" s="30"/>
      <c r="U189" s="56"/>
      <c r="V189" s="56"/>
      <c r="W189" s="56"/>
      <c r="X189" s="56"/>
      <c r="Y189" s="30"/>
      <c r="Z189" s="30"/>
      <c r="AA189" s="30"/>
      <c r="AB189" s="30"/>
      <c r="AC189" s="30"/>
      <c r="AD189" s="30"/>
    </row>
    <row r="190" spans="1:30" ht="15.75" customHeight="1">
      <c r="A190" s="52"/>
      <c r="B190" s="30"/>
      <c r="C190" s="30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9"/>
      <c r="P190" s="60"/>
      <c r="Q190" s="60"/>
      <c r="R190" s="61"/>
      <c r="S190" s="56"/>
      <c r="T190" s="30"/>
      <c r="U190" s="56"/>
      <c r="V190" s="56"/>
      <c r="W190" s="56"/>
      <c r="X190" s="56"/>
      <c r="Y190" s="30"/>
      <c r="Z190" s="30"/>
      <c r="AA190" s="30"/>
      <c r="AB190" s="30"/>
      <c r="AC190" s="30"/>
      <c r="AD190" s="30"/>
    </row>
    <row r="191" spans="1:30" ht="15.75" customHeight="1">
      <c r="A191" s="52"/>
      <c r="B191" s="30"/>
      <c r="C191" s="30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9"/>
      <c r="P191" s="60"/>
      <c r="Q191" s="60"/>
      <c r="R191" s="61"/>
      <c r="S191" s="56"/>
      <c r="T191" s="30"/>
      <c r="U191" s="56"/>
      <c r="V191" s="56"/>
      <c r="W191" s="56"/>
      <c r="X191" s="56"/>
      <c r="Y191" s="30"/>
      <c r="Z191" s="30"/>
      <c r="AA191" s="30"/>
      <c r="AB191" s="30"/>
      <c r="AC191" s="30"/>
      <c r="AD191" s="30"/>
    </row>
    <row r="192" spans="1:30" ht="15.75" customHeight="1">
      <c r="A192" s="52"/>
      <c r="B192" s="30"/>
      <c r="C192" s="30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9"/>
      <c r="P192" s="60"/>
      <c r="Q192" s="60"/>
      <c r="R192" s="61"/>
      <c r="S192" s="56"/>
      <c r="T192" s="30"/>
      <c r="U192" s="56"/>
      <c r="V192" s="56"/>
      <c r="W192" s="56"/>
      <c r="X192" s="56"/>
      <c r="Y192" s="30"/>
      <c r="Z192" s="30"/>
      <c r="AA192" s="30"/>
      <c r="AB192" s="30"/>
      <c r="AC192" s="30"/>
      <c r="AD192" s="30"/>
    </row>
    <row r="193" spans="1:30" ht="15.75" customHeight="1">
      <c r="A193" s="52"/>
      <c r="B193" s="30"/>
      <c r="C193" s="30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9"/>
      <c r="P193" s="60"/>
      <c r="Q193" s="60"/>
      <c r="R193" s="61"/>
      <c r="S193" s="56"/>
      <c r="T193" s="30"/>
      <c r="U193" s="56"/>
      <c r="V193" s="56"/>
      <c r="W193" s="56"/>
      <c r="X193" s="56"/>
      <c r="Y193" s="30"/>
      <c r="Z193" s="30"/>
      <c r="AA193" s="30"/>
      <c r="AB193" s="30"/>
      <c r="AC193" s="30"/>
      <c r="AD193" s="30"/>
    </row>
    <row r="194" spans="1:30" ht="15.75" customHeight="1">
      <c r="A194" s="52"/>
      <c r="B194" s="30"/>
      <c r="C194" s="30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9"/>
      <c r="P194" s="60"/>
      <c r="Q194" s="60"/>
      <c r="R194" s="61"/>
      <c r="S194" s="56"/>
      <c r="T194" s="30"/>
      <c r="U194" s="56"/>
      <c r="V194" s="56"/>
      <c r="W194" s="56"/>
      <c r="X194" s="56"/>
      <c r="Y194" s="30"/>
      <c r="Z194" s="30"/>
      <c r="AA194" s="30"/>
      <c r="AB194" s="30"/>
      <c r="AC194" s="30"/>
      <c r="AD194" s="30"/>
    </row>
    <row r="195" spans="1:30" ht="15.75" customHeight="1">
      <c r="A195" s="52"/>
      <c r="B195" s="30"/>
      <c r="C195" s="30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9"/>
      <c r="P195" s="60"/>
      <c r="Q195" s="60"/>
      <c r="R195" s="61"/>
      <c r="S195" s="56"/>
      <c r="T195" s="30"/>
      <c r="U195" s="56"/>
      <c r="V195" s="56"/>
      <c r="W195" s="56"/>
      <c r="X195" s="56"/>
      <c r="Y195" s="30"/>
      <c r="Z195" s="30"/>
      <c r="AA195" s="30"/>
      <c r="AB195" s="30"/>
      <c r="AC195" s="30"/>
      <c r="AD195" s="30"/>
    </row>
    <row r="196" spans="1:30" ht="15.75" customHeight="1">
      <c r="A196" s="52"/>
      <c r="B196" s="30"/>
      <c r="C196" s="30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9"/>
      <c r="P196" s="60"/>
      <c r="Q196" s="60"/>
      <c r="R196" s="61"/>
      <c r="S196" s="56"/>
      <c r="T196" s="30"/>
      <c r="U196" s="56"/>
      <c r="V196" s="56"/>
      <c r="W196" s="56"/>
      <c r="X196" s="56"/>
      <c r="Y196" s="30"/>
      <c r="Z196" s="30"/>
      <c r="AA196" s="30"/>
      <c r="AB196" s="30"/>
      <c r="AC196" s="30"/>
      <c r="AD196" s="30"/>
    </row>
    <row r="197" spans="1:30" ht="15.75" customHeight="1">
      <c r="A197" s="52"/>
      <c r="B197" s="30"/>
      <c r="C197" s="30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9"/>
      <c r="P197" s="60"/>
      <c r="Q197" s="60"/>
      <c r="R197" s="61"/>
      <c r="S197" s="56"/>
      <c r="T197" s="30"/>
      <c r="U197" s="56"/>
      <c r="V197" s="56"/>
      <c r="W197" s="56"/>
      <c r="X197" s="56"/>
      <c r="Y197" s="30"/>
      <c r="Z197" s="30"/>
      <c r="AA197" s="30"/>
      <c r="AB197" s="30"/>
      <c r="AC197" s="30"/>
      <c r="AD197" s="30"/>
    </row>
    <row r="198" spans="1:30" ht="15.75" customHeight="1">
      <c r="A198" s="52"/>
      <c r="B198" s="30"/>
      <c r="C198" s="30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9"/>
      <c r="P198" s="60"/>
      <c r="Q198" s="60"/>
      <c r="R198" s="61"/>
      <c r="S198" s="56"/>
      <c r="T198" s="30"/>
      <c r="U198" s="56"/>
      <c r="V198" s="56"/>
      <c r="W198" s="56"/>
      <c r="X198" s="56"/>
      <c r="Y198" s="30"/>
      <c r="Z198" s="30"/>
      <c r="AA198" s="30"/>
      <c r="AB198" s="30"/>
      <c r="AC198" s="30"/>
      <c r="AD198" s="30"/>
    </row>
    <row r="199" spans="1:30" ht="15.75" customHeight="1">
      <c r="A199" s="52"/>
      <c r="B199" s="30"/>
      <c r="C199" s="30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9"/>
      <c r="P199" s="60"/>
      <c r="Q199" s="60"/>
      <c r="R199" s="61"/>
      <c r="S199" s="56"/>
      <c r="T199" s="30"/>
      <c r="U199" s="56"/>
      <c r="V199" s="56"/>
      <c r="W199" s="56"/>
      <c r="X199" s="56"/>
      <c r="Y199" s="30"/>
      <c r="Z199" s="30"/>
      <c r="AA199" s="30"/>
      <c r="AB199" s="30"/>
      <c r="AC199" s="30"/>
      <c r="AD199" s="30"/>
    </row>
    <row r="200" spans="1:30" ht="15.75" customHeight="1">
      <c r="A200" s="52"/>
      <c r="B200" s="30"/>
      <c r="C200" s="30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9"/>
      <c r="P200" s="60"/>
      <c r="Q200" s="60"/>
      <c r="R200" s="61"/>
      <c r="S200" s="56"/>
      <c r="T200" s="30"/>
      <c r="U200" s="56"/>
      <c r="V200" s="56"/>
      <c r="W200" s="56"/>
      <c r="X200" s="56"/>
      <c r="Y200" s="30"/>
      <c r="Z200" s="30"/>
      <c r="AA200" s="30"/>
      <c r="AB200" s="30"/>
      <c r="AC200" s="30"/>
      <c r="AD200" s="30"/>
    </row>
    <row r="201" spans="1:30" ht="15.75" customHeight="1">
      <c r="A201" s="52"/>
      <c r="B201" s="30"/>
      <c r="C201" s="30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9"/>
      <c r="P201" s="60"/>
      <c r="Q201" s="60"/>
      <c r="R201" s="61"/>
      <c r="S201" s="56"/>
      <c r="T201" s="30"/>
      <c r="U201" s="56"/>
      <c r="V201" s="56"/>
      <c r="W201" s="56"/>
      <c r="X201" s="56"/>
      <c r="Y201" s="30"/>
      <c r="Z201" s="30"/>
      <c r="AA201" s="30"/>
      <c r="AB201" s="30"/>
      <c r="AC201" s="30"/>
      <c r="AD201" s="30"/>
    </row>
    <row r="202" spans="1:30" ht="15.75" customHeight="1">
      <c r="A202" s="52"/>
      <c r="B202" s="30"/>
      <c r="C202" s="30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9"/>
      <c r="P202" s="60"/>
      <c r="Q202" s="60"/>
      <c r="R202" s="61"/>
      <c r="S202" s="56"/>
      <c r="T202" s="30"/>
      <c r="U202" s="56"/>
      <c r="V202" s="56"/>
      <c r="W202" s="56"/>
      <c r="X202" s="56"/>
      <c r="Y202" s="30"/>
      <c r="Z202" s="30"/>
      <c r="AA202" s="30"/>
      <c r="AB202" s="30"/>
      <c r="AC202" s="30"/>
      <c r="AD202" s="30"/>
    </row>
    <row r="203" spans="1:30" ht="15.75" customHeight="1">
      <c r="A203" s="52"/>
      <c r="B203" s="30"/>
      <c r="C203" s="30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9"/>
      <c r="P203" s="60"/>
      <c r="Q203" s="60"/>
      <c r="R203" s="61"/>
      <c r="S203" s="56"/>
      <c r="T203" s="30"/>
      <c r="U203" s="56"/>
      <c r="V203" s="56"/>
      <c r="W203" s="56"/>
      <c r="X203" s="56"/>
      <c r="Y203" s="30"/>
      <c r="Z203" s="30"/>
      <c r="AA203" s="30"/>
      <c r="AB203" s="30"/>
      <c r="AC203" s="30"/>
      <c r="AD203" s="30"/>
    </row>
    <row r="204" spans="1:30" ht="15.75" customHeight="1">
      <c r="A204" s="52"/>
      <c r="B204" s="30"/>
      <c r="C204" s="30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9"/>
      <c r="P204" s="60"/>
      <c r="Q204" s="60"/>
      <c r="R204" s="61"/>
      <c r="S204" s="56"/>
      <c r="T204" s="30"/>
      <c r="U204" s="56"/>
      <c r="V204" s="56"/>
      <c r="W204" s="56"/>
      <c r="X204" s="56"/>
      <c r="Y204" s="30"/>
      <c r="Z204" s="30"/>
      <c r="AA204" s="30"/>
      <c r="AB204" s="30"/>
      <c r="AC204" s="30"/>
      <c r="AD204" s="30"/>
    </row>
    <row r="205" spans="1:30" ht="15.75" customHeight="1">
      <c r="A205" s="52"/>
      <c r="B205" s="30"/>
      <c r="C205" s="30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9"/>
      <c r="P205" s="60"/>
      <c r="Q205" s="60"/>
      <c r="R205" s="61"/>
      <c r="S205" s="56"/>
      <c r="T205" s="30"/>
      <c r="U205" s="56"/>
      <c r="V205" s="56"/>
      <c r="W205" s="56"/>
      <c r="X205" s="56"/>
      <c r="Y205" s="30"/>
      <c r="Z205" s="30"/>
      <c r="AA205" s="30"/>
      <c r="AB205" s="30"/>
      <c r="AC205" s="30"/>
      <c r="AD205" s="30"/>
    </row>
    <row r="206" spans="1:30" ht="15.75" customHeight="1">
      <c r="A206" s="52"/>
      <c r="B206" s="30"/>
      <c r="C206" s="30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9"/>
      <c r="P206" s="60"/>
      <c r="Q206" s="60"/>
      <c r="R206" s="61"/>
      <c r="S206" s="56"/>
      <c r="T206" s="30"/>
      <c r="U206" s="56"/>
      <c r="V206" s="56"/>
      <c r="W206" s="56"/>
      <c r="X206" s="56"/>
      <c r="Y206" s="30"/>
      <c r="Z206" s="30"/>
      <c r="AA206" s="30"/>
      <c r="AB206" s="30"/>
      <c r="AC206" s="30"/>
      <c r="AD206" s="30"/>
    </row>
    <row r="207" spans="1:30" ht="15.75" customHeight="1">
      <c r="A207" s="52"/>
      <c r="B207" s="30"/>
      <c r="C207" s="30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9"/>
      <c r="P207" s="60"/>
      <c r="Q207" s="60"/>
      <c r="R207" s="61"/>
      <c r="S207" s="56"/>
      <c r="T207" s="30"/>
      <c r="U207" s="56"/>
      <c r="V207" s="56"/>
      <c r="W207" s="56"/>
      <c r="X207" s="56"/>
      <c r="Y207" s="30"/>
      <c r="Z207" s="30"/>
      <c r="AA207" s="30"/>
      <c r="AB207" s="30"/>
      <c r="AC207" s="30"/>
      <c r="AD207" s="30"/>
    </row>
    <row r="208" spans="1:30" ht="15.75" customHeight="1">
      <c r="A208" s="52"/>
      <c r="B208" s="30"/>
      <c r="C208" s="30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9"/>
      <c r="P208" s="60"/>
      <c r="Q208" s="60"/>
      <c r="R208" s="61"/>
      <c r="S208" s="56"/>
      <c r="T208" s="30"/>
      <c r="U208" s="56"/>
      <c r="V208" s="56"/>
      <c r="W208" s="56"/>
      <c r="X208" s="56"/>
      <c r="Y208" s="30"/>
      <c r="Z208" s="30"/>
      <c r="AA208" s="30"/>
      <c r="AB208" s="30"/>
      <c r="AC208" s="30"/>
      <c r="AD208" s="30"/>
    </row>
    <row r="209" spans="1:30" ht="15.75" customHeight="1">
      <c r="A209" s="52"/>
      <c r="B209" s="30"/>
      <c r="C209" s="30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9"/>
      <c r="P209" s="60"/>
      <c r="Q209" s="60"/>
      <c r="R209" s="61"/>
      <c r="S209" s="56"/>
      <c r="T209" s="30"/>
      <c r="U209" s="56"/>
      <c r="V209" s="56"/>
      <c r="W209" s="56"/>
      <c r="X209" s="56"/>
      <c r="Y209" s="30"/>
      <c r="Z209" s="30"/>
      <c r="AA209" s="30"/>
      <c r="AB209" s="30"/>
      <c r="AC209" s="30"/>
      <c r="AD209" s="30"/>
    </row>
    <row r="210" spans="1:30" ht="15.75" customHeight="1">
      <c r="A210" s="52"/>
      <c r="B210" s="30"/>
      <c r="C210" s="30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9"/>
      <c r="P210" s="60"/>
      <c r="Q210" s="60"/>
      <c r="R210" s="61"/>
      <c r="S210" s="56"/>
      <c r="T210" s="30"/>
      <c r="U210" s="56"/>
      <c r="V210" s="56"/>
      <c r="W210" s="56"/>
      <c r="X210" s="56"/>
      <c r="Y210" s="30"/>
      <c r="Z210" s="30"/>
      <c r="AA210" s="30"/>
      <c r="AB210" s="30"/>
      <c r="AC210" s="30"/>
      <c r="AD210" s="30"/>
    </row>
    <row r="211" spans="1:30" ht="15.75" customHeight="1">
      <c r="A211" s="52"/>
      <c r="B211" s="30"/>
      <c r="C211" s="30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9"/>
      <c r="P211" s="60"/>
      <c r="Q211" s="60"/>
      <c r="R211" s="61"/>
      <c r="S211" s="56"/>
      <c r="T211" s="30"/>
      <c r="U211" s="56"/>
      <c r="V211" s="56"/>
      <c r="W211" s="56"/>
      <c r="X211" s="56"/>
      <c r="Y211" s="30"/>
      <c r="Z211" s="30"/>
      <c r="AA211" s="30"/>
      <c r="AB211" s="30"/>
      <c r="AC211" s="30"/>
      <c r="AD211" s="30"/>
    </row>
    <row r="212" spans="1:30" ht="15.75" customHeight="1">
      <c r="A212" s="52"/>
      <c r="B212" s="30"/>
      <c r="C212" s="30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9"/>
      <c r="P212" s="60"/>
      <c r="Q212" s="60"/>
      <c r="R212" s="61"/>
      <c r="S212" s="56"/>
      <c r="T212" s="30"/>
      <c r="U212" s="56"/>
      <c r="V212" s="56"/>
      <c r="W212" s="56"/>
      <c r="X212" s="56"/>
      <c r="Y212" s="30"/>
      <c r="Z212" s="30"/>
      <c r="AA212" s="30"/>
      <c r="AB212" s="30"/>
      <c r="AC212" s="30"/>
      <c r="AD212" s="30"/>
    </row>
    <row r="213" spans="1:30" ht="15.75" customHeight="1">
      <c r="A213" s="52"/>
      <c r="B213" s="30"/>
      <c r="C213" s="30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9"/>
      <c r="P213" s="60"/>
      <c r="Q213" s="60"/>
      <c r="R213" s="61"/>
      <c r="S213" s="56"/>
      <c r="T213" s="30"/>
      <c r="U213" s="56"/>
      <c r="V213" s="56"/>
      <c r="W213" s="56"/>
      <c r="X213" s="56"/>
      <c r="Y213" s="30"/>
      <c r="Z213" s="30"/>
      <c r="AA213" s="30"/>
      <c r="AB213" s="30"/>
      <c r="AC213" s="30"/>
      <c r="AD213" s="30"/>
    </row>
    <row r="214" spans="1:30" ht="15.75" customHeight="1">
      <c r="A214" s="52"/>
      <c r="B214" s="30"/>
      <c r="C214" s="30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9"/>
      <c r="P214" s="60"/>
      <c r="Q214" s="60"/>
      <c r="R214" s="61"/>
      <c r="S214" s="56"/>
      <c r="T214" s="30"/>
      <c r="U214" s="56"/>
      <c r="V214" s="56"/>
      <c r="W214" s="56"/>
      <c r="X214" s="56"/>
      <c r="Y214" s="30"/>
      <c r="Z214" s="30"/>
      <c r="AA214" s="30"/>
      <c r="AB214" s="30"/>
      <c r="AC214" s="30"/>
      <c r="AD214" s="30"/>
    </row>
    <row r="215" spans="1:30" ht="15.75" customHeight="1">
      <c r="A215" s="52"/>
      <c r="B215" s="30"/>
      <c r="C215" s="30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9"/>
      <c r="P215" s="60"/>
      <c r="Q215" s="60"/>
      <c r="R215" s="61"/>
      <c r="S215" s="56"/>
      <c r="T215" s="30"/>
      <c r="U215" s="56"/>
      <c r="V215" s="56"/>
      <c r="W215" s="56"/>
      <c r="X215" s="56"/>
      <c r="Y215" s="30"/>
      <c r="Z215" s="30"/>
      <c r="AA215" s="30"/>
      <c r="AB215" s="30"/>
      <c r="AC215" s="30"/>
      <c r="AD215" s="30"/>
    </row>
    <row r="216" spans="1:30" ht="15.75" customHeight="1">
      <c r="A216" s="52"/>
      <c r="B216" s="30"/>
      <c r="C216" s="30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9"/>
      <c r="P216" s="60"/>
      <c r="Q216" s="60"/>
      <c r="R216" s="61"/>
      <c r="S216" s="56"/>
      <c r="T216" s="30"/>
      <c r="U216" s="56"/>
      <c r="V216" s="56"/>
      <c r="W216" s="56"/>
      <c r="X216" s="56"/>
      <c r="Y216" s="30"/>
      <c r="Z216" s="30"/>
      <c r="AA216" s="30"/>
      <c r="AB216" s="30"/>
      <c r="AC216" s="30"/>
      <c r="AD216" s="30"/>
    </row>
    <row r="217" spans="1:30" ht="15.75" customHeight="1">
      <c r="A217" s="52"/>
      <c r="B217" s="30"/>
      <c r="C217" s="30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9"/>
      <c r="P217" s="60"/>
      <c r="Q217" s="60"/>
      <c r="R217" s="61"/>
      <c r="S217" s="56"/>
      <c r="T217" s="30"/>
      <c r="U217" s="56"/>
      <c r="V217" s="56"/>
      <c r="W217" s="56"/>
      <c r="X217" s="56"/>
      <c r="Y217" s="30"/>
      <c r="Z217" s="30"/>
      <c r="AA217" s="30"/>
      <c r="AB217" s="30"/>
      <c r="AC217" s="30"/>
      <c r="AD217" s="30"/>
    </row>
    <row r="218" spans="1:30" ht="15.75" customHeight="1">
      <c r="A218" s="52"/>
      <c r="B218" s="30"/>
      <c r="C218" s="30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9"/>
      <c r="P218" s="60"/>
      <c r="Q218" s="60"/>
      <c r="R218" s="61"/>
      <c r="S218" s="56"/>
      <c r="T218" s="30"/>
      <c r="U218" s="56"/>
      <c r="V218" s="56"/>
      <c r="W218" s="56"/>
      <c r="X218" s="56"/>
      <c r="Y218" s="30"/>
      <c r="Z218" s="30"/>
      <c r="AA218" s="30"/>
      <c r="AB218" s="30"/>
      <c r="AC218" s="30"/>
      <c r="AD218" s="30"/>
    </row>
    <row r="219" spans="1:30" ht="15.75" customHeight="1">
      <c r="A219" s="52"/>
      <c r="B219" s="30"/>
      <c r="C219" s="30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9"/>
      <c r="P219" s="60"/>
      <c r="Q219" s="60"/>
      <c r="R219" s="61"/>
      <c r="S219" s="56"/>
      <c r="T219" s="30"/>
      <c r="U219" s="56"/>
      <c r="V219" s="56"/>
      <c r="W219" s="56"/>
      <c r="X219" s="56"/>
      <c r="Y219" s="30"/>
      <c r="Z219" s="30"/>
      <c r="AA219" s="30"/>
      <c r="AB219" s="30"/>
      <c r="AC219" s="30"/>
      <c r="AD219" s="30"/>
    </row>
    <row r="220" spans="1:30" ht="15.75" customHeight="1">
      <c r="A220" s="52"/>
      <c r="B220" s="30"/>
      <c r="C220" s="30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9"/>
      <c r="P220" s="60"/>
      <c r="Q220" s="60"/>
      <c r="R220" s="61"/>
      <c r="S220" s="56"/>
      <c r="T220" s="30"/>
      <c r="U220" s="56"/>
      <c r="V220" s="56"/>
      <c r="W220" s="56"/>
      <c r="X220" s="56"/>
      <c r="Y220" s="30"/>
      <c r="Z220" s="30"/>
      <c r="AA220" s="30"/>
      <c r="AB220" s="30"/>
      <c r="AC220" s="30"/>
      <c r="AD220" s="30"/>
    </row>
    <row r="221" spans="1:30" ht="15.75" customHeight="1">
      <c r="A221" s="52"/>
      <c r="B221" s="30"/>
      <c r="C221" s="30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9"/>
      <c r="P221" s="60"/>
      <c r="Q221" s="60"/>
      <c r="R221" s="61"/>
      <c r="S221" s="56"/>
      <c r="T221" s="30"/>
      <c r="U221" s="56"/>
      <c r="V221" s="56"/>
      <c r="W221" s="56"/>
      <c r="X221" s="56"/>
      <c r="Y221" s="30"/>
      <c r="Z221" s="30"/>
      <c r="AA221" s="30"/>
      <c r="AB221" s="30"/>
      <c r="AC221" s="30"/>
      <c r="AD221" s="30"/>
    </row>
    <row r="222" spans="1:30" ht="15.75" customHeight="1">
      <c r="A222" s="52"/>
      <c r="B222" s="30"/>
      <c r="C222" s="30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9"/>
      <c r="P222" s="60"/>
      <c r="Q222" s="60"/>
      <c r="R222" s="61"/>
      <c r="S222" s="56"/>
      <c r="T222" s="30"/>
      <c r="U222" s="56"/>
      <c r="V222" s="56"/>
      <c r="W222" s="56"/>
      <c r="X222" s="56"/>
      <c r="Y222" s="30"/>
      <c r="Z222" s="30"/>
      <c r="AA222" s="30"/>
      <c r="AB222" s="30"/>
      <c r="AC222" s="30"/>
      <c r="AD222" s="30"/>
    </row>
    <row r="223" spans="1:30" ht="15.75" customHeight="1">
      <c r="A223" s="52"/>
      <c r="B223" s="30"/>
      <c r="C223" s="30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9"/>
      <c r="P223" s="60"/>
      <c r="Q223" s="60"/>
      <c r="R223" s="61"/>
      <c r="S223" s="56"/>
      <c r="T223" s="30"/>
      <c r="U223" s="56"/>
      <c r="V223" s="56"/>
      <c r="W223" s="56"/>
      <c r="X223" s="56"/>
      <c r="Y223" s="30"/>
      <c r="Z223" s="30"/>
      <c r="AA223" s="30"/>
      <c r="AB223" s="30"/>
      <c r="AC223" s="30"/>
      <c r="AD223" s="30"/>
    </row>
    <row r="224" spans="1:30" ht="15.75" customHeight="1">
      <c r="A224" s="52"/>
      <c r="B224" s="30"/>
      <c r="C224" s="30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9"/>
      <c r="P224" s="60"/>
      <c r="Q224" s="60"/>
      <c r="R224" s="61"/>
      <c r="S224" s="56"/>
      <c r="T224" s="30"/>
      <c r="U224" s="56"/>
      <c r="V224" s="56"/>
      <c r="W224" s="56"/>
      <c r="X224" s="56"/>
      <c r="Y224" s="30"/>
      <c r="Z224" s="30"/>
      <c r="AA224" s="30"/>
      <c r="AB224" s="30"/>
      <c r="AC224" s="30"/>
      <c r="AD224" s="30"/>
    </row>
    <row r="225" spans="1:30" ht="15.75" customHeight="1">
      <c r="A225" s="52"/>
      <c r="B225" s="30"/>
      <c r="C225" s="30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9"/>
      <c r="P225" s="60"/>
      <c r="Q225" s="60"/>
      <c r="R225" s="61"/>
      <c r="S225" s="56"/>
      <c r="T225" s="30"/>
      <c r="U225" s="56"/>
      <c r="V225" s="56"/>
      <c r="W225" s="56"/>
      <c r="X225" s="56"/>
      <c r="Y225" s="30"/>
      <c r="Z225" s="30"/>
      <c r="AA225" s="30"/>
      <c r="AB225" s="30"/>
      <c r="AC225" s="30"/>
      <c r="AD225" s="30"/>
    </row>
    <row r="226" spans="1:30" ht="15.75" customHeight="1">
      <c r="A226" s="52"/>
      <c r="B226" s="30"/>
      <c r="C226" s="30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9"/>
      <c r="P226" s="60"/>
      <c r="Q226" s="60"/>
      <c r="R226" s="61"/>
      <c r="S226" s="56"/>
      <c r="T226" s="30"/>
      <c r="U226" s="56"/>
      <c r="V226" s="56"/>
      <c r="W226" s="56"/>
      <c r="X226" s="56"/>
      <c r="Y226" s="30"/>
      <c r="Z226" s="30"/>
      <c r="AA226" s="30"/>
      <c r="AB226" s="30"/>
      <c r="AC226" s="30"/>
      <c r="AD226" s="30"/>
    </row>
    <row r="227" spans="1:30" ht="15.75" customHeight="1">
      <c r="A227" s="52"/>
      <c r="B227" s="30"/>
      <c r="C227" s="30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9"/>
      <c r="P227" s="60"/>
      <c r="Q227" s="60"/>
      <c r="R227" s="61"/>
      <c r="S227" s="56"/>
      <c r="T227" s="30"/>
      <c r="U227" s="56"/>
      <c r="V227" s="56"/>
      <c r="W227" s="56"/>
      <c r="X227" s="56"/>
      <c r="Y227" s="30"/>
      <c r="Z227" s="30"/>
      <c r="AA227" s="30"/>
      <c r="AB227" s="30"/>
      <c r="AC227" s="30"/>
      <c r="AD227" s="30"/>
    </row>
    <row r="228" spans="1:30" ht="15.75" customHeight="1">
      <c r="A228" s="52"/>
      <c r="B228" s="30"/>
      <c r="C228" s="30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9"/>
      <c r="P228" s="60"/>
      <c r="Q228" s="60"/>
      <c r="R228" s="61"/>
      <c r="S228" s="56"/>
      <c r="T228" s="30"/>
      <c r="U228" s="56"/>
      <c r="V228" s="56"/>
      <c r="W228" s="56"/>
      <c r="X228" s="56"/>
      <c r="Y228" s="30"/>
      <c r="Z228" s="30"/>
      <c r="AA228" s="30"/>
      <c r="AB228" s="30"/>
      <c r="AC228" s="30"/>
      <c r="AD228" s="30"/>
    </row>
    <row r="229" spans="1:30" ht="15.75" customHeight="1">
      <c r="A229" s="52"/>
      <c r="B229" s="30"/>
      <c r="C229" s="30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9"/>
      <c r="P229" s="60"/>
      <c r="Q229" s="60"/>
      <c r="R229" s="61"/>
      <c r="S229" s="56"/>
      <c r="T229" s="30"/>
      <c r="U229" s="56"/>
      <c r="V229" s="56"/>
      <c r="W229" s="56"/>
      <c r="X229" s="56"/>
      <c r="Y229" s="30"/>
      <c r="Z229" s="30"/>
      <c r="AA229" s="30"/>
      <c r="AB229" s="30"/>
      <c r="AC229" s="30"/>
      <c r="AD229" s="30"/>
    </row>
    <row r="230" spans="1:30" ht="15.75" customHeight="1">
      <c r="A230" s="52"/>
      <c r="B230" s="30"/>
      <c r="C230" s="30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9"/>
      <c r="P230" s="60"/>
      <c r="Q230" s="60"/>
      <c r="R230" s="61"/>
      <c r="S230" s="56"/>
      <c r="T230" s="30"/>
      <c r="U230" s="56"/>
      <c r="V230" s="56"/>
      <c r="W230" s="56"/>
      <c r="X230" s="56"/>
      <c r="Y230" s="30"/>
      <c r="Z230" s="30"/>
      <c r="AA230" s="30"/>
      <c r="AB230" s="30"/>
      <c r="AC230" s="30"/>
      <c r="AD230" s="30"/>
    </row>
    <row r="231" spans="1:30" ht="15.75" customHeight="1">
      <c r="A231" s="52"/>
      <c r="B231" s="30"/>
      <c r="C231" s="30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9"/>
      <c r="P231" s="60"/>
      <c r="Q231" s="60"/>
      <c r="R231" s="61"/>
      <c r="S231" s="56"/>
      <c r="T231" s="30"/>
      <c r="U231" s="56"/>
      <c r="V231" s="56"/>
      <c r="W231" s="56"/>
      <c r="X231" s="56"/>
      <c r="Y231" s="30"/>
      <c r="Z231" s="30"/>
      <c r="AA231" s="30"/>
      <c r="AB231" s="30"/>
      <c r="AC231" s="30"/>
      <c r="AD231" s="30"/>
    </row>
    <row r="232" spans="1:30" ht="15.75" customHeight="1">
      <c r="A232" s="52"/>
      <c r="B232" s="30"/>
      <c r="C232" s="30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9"/>
      <c r="P232" s="60"/>
      <c r="Q232" s="60"/>
      <c r="R232" s="61"/>
      <c r="S232" s="56"/>
      <c r="T232" s="30"/>
      <c r="U232" s="56"/>
      <c r="V232" s="56"/>
      <c r="W232" s="56"/>
      <c r="X232" s="56"/>
      <c r="Y232" s="30"/>
      <c r="Z232" s="30"/>
      <c r="AA232" s="30"/>
      <c r="AB232" s="30"/>
      <c r="AC232" s="30"/>
      <c r="AD232" s="30"/>
    </row>
    <row r="233" spans="1:30" ht="15.75" customHeight="1">
      <c r="A233" s="52"/>
      <c r="B233" s="30"/>
      <c r="C233" s="30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9"/>
      <c r="P233" s="60"/>
      <c r="Q233" s="60"/>
      <c r="R233" s="61"/>
      <c r="S233" s="56"/>
      <c r="T233" s="30"/>
      <c r="U233" s="56"/>
      <c r="V233" s="56"/>
      <c r="W233" s="56"/>
      <c r="X233" s="56"/>
      <c r="Y233" s="30"/>
      <c r="Z233" s="30"/>
      <c r="AA233" s="30"/>
      <c r="AB233" s="30"/>
      <c r="AC233" s="30"/>
      <c r="AD233" s="30"/>
    </row>
    <row r="234" spans="1:30" ht="15.75" customHeight="1">
      <c r="A234" s="52"/>
      <c r="B234" s="30"/>
      <c r="C234" s="30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9"/>
      <c r="P234" s="60"/>
      <c r="Q234" s="60"/>
      <c r="R234" s="61"/>
      <c r="S234" s="56"/>
      <c r="T234" s="30"/>
      <c r="U234" s="56"/>
      <c r="V234" s="56"/>
      <c r="W234" s="56"/>
      <c r="X234" s="56"/>
      <c r="Y234" s="30"/>
      <c r="Z234" s="30"/>
      <c r="AA234" s="30"/>
      <c r="AB234" s="30"/>
      <c r="AC234" s="30"/>
      <c r="AD234" s="30"/>
    </row>
    <row r="235" spans="1:30" ht="15.75" customHeight="1">
      <c r="A235" s="52"/>
      <c r="B235" s="30"/>
      <c r="C235" s="30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9"/>
      <c r="P235" s="60"/>
      <c r="Q235" s="60"/>
      <c r="R235" s="61"/>
      <c r="S235" s="56"/>
      <c r="T235" s="30"/>
      <c r="U235" s="56"/>
      <c r="V235" s="56"/>
      <c r="W235" s="56"/>
      <c r="X235" s="56"/>
      <c r="Y235" s="30"/>
      <c r="Z235" s="30"/>
      <c r="AA235" s="30"/>
      <c r="AB235" s="30"/>
      <c r="AC235" s="30"/>
      <c r="AD235" s="30"/>
    </row>
    <row r="236" spans="1:30" ht="15.75" customHeight="1">
      <c r="A236" s="52"/>
      <c r="B236" s="30"/>
      <c r="C236" s="30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9"/>
      <c r="P236" s="60"/>
      <c r="Q236" s="60"/>
      <c r="R236" s="61"/>
      <c r="S236" s="56"/>
      <c r="T236" s="30"/>
      <c r="U236" s="56"/>
      <c r="V236" s="56"/>
      <c r="W236" s="56"/>
      <c r="X236" s="56"/>
      <c r="Y236" s="30"/>
      <c r="Z236" s="30"/>
      <c r="AA236" s="30"/>
      <c r="AB236" s="30"/>
      <c r="AC236" s="30"/>
      <c r="AD236" s="30"/>
    </row>
    <row r="237" spans="1:30" ht="15.75" customHeight="1">
      <c r="A237" s="52"/>
      <c r="B237" s="30"/>
      <c r="C237" s="30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9"/>
      <c r="P237" s="60"/>
      <c r="Q237" s="60"/>
      <c r="R237" s="61"/>
      <c r="S237" s="56"/>
      <c r="T237" s="30"/>
      <c r="U237" s="56"/>
      <c r="V237" s="56"/>
      <c r="W237" s="56"/>
      <c r="X237" s="56"/>
      <c r="Y237" s="30"/>
      <c r="Z237" s="30"/>
      <c r="AA237" s="30"/>
      <c r="AB237" s="30"/>
      <c r="AC237" s="30"/>
      <c r="AD237" s="30"/>
    </row>
    <row r="238" spans="1:30" ht="15.75" customHeight="1">
      <c r="A238" s="52"/>
      <c r="B238" s="30"/>
      <c r="C238" s="30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9"/>
      <c r="P238" s="60"/>
      <c r="Q238" s="60"/>
      <c r="R238" s="61"/>
      <c r="S238" s="56"/>
      <c r="T238" s="30"/>
      <c r="U238" s="56"/>
      <c r="V238" s="56"/>
      <c r="W238" s="56"/>
      <c r="X238" s="56"/>
      <c r="Y238" s="30"/>
      <c r="Z238" s="30"/>
      <c r="AA238" s="30"/>
      <c r="AB238" s="30"/>
      <c r="AC238" s="30"/>
      <c r="AD238" s="30"/>
    </row>
    <row r="239" spans="1:30" ht="15.75" customHeight="1">
      <c r="A239" s="52"/>
      <c r="B239" s="30"/>
      <c r="C239" s="30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9"/>
      <c r="P239" s="60"/>
      <c r="Q239" s="60"/>
      <c r="R239" s="61"/>
      <c r="S239" s="56"/>
      <c r="T239" s="30"/>
      <c r="U239" s="56"/>
      <c r="V239" s="56"/>
      <c r="W239" s="56"/>
      <c r="X239" s="56"/>
      <c r="Y239" s="30"/>
      <c r="Z239" s="30"/>
      <c r="AA239" s="30"/>
      <c r="AB239" s="30"/>
      <c r="AC239" s="30"/>
      <c r="AD239" s="30"/>
    </row>
    <row r="240" spans="1:30" ht="15.75" customHeight="1">
      <c r="A240" s="52"/>
      <c r="B240" s="30"/>
      <c r="C240" s="30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9"/>
      <c r="P240" s="60"/>
      <c r="Q240" s="60"/>
      <c r="R240" s="61"/>
      <c r="S240" s="56"/>
      <c r="T240" s="30"/>
      <c r="U240" s="56"/>
      <c r="V240" s="56"/>
      <c r="W240" s="56"/>
      <c r="X240" s="56"/>
      <c r="Y240" s="30"/>
      <c r="Z240" s="30"/>
      <c r="AA240" s="30"/>
      <c r="AB240" s="30"/>
      <c r="AC240" s="30"/>
      <c r="AD240" s="30"/>
    </row>
    <row r="241" spans="1:30" ht="15.75" customHeight="1">
      <c r="A241" s="52"/>
      <c r="B241" s="30"/>
      <c r="C241" s="30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9"/>
      <c r="P241" s="60"/>
      <c r="Q241" s="60"/>
      <c r="R241" s="61"/>
      <c r="S241" s="56"/>
      <c r="T241" s="30"/>
      <c r="U241" s="56"/>
      <c r="V241" s="56"/>
      <c r="W241" s="56"/>
      <c r="X241" s="56"/>
      <c r="Y241" s="30"/>
      <c r="Z241" s="30"/>
      <c r="AA241" s="30"/>
      <c r="AB241" s="30"/>
      <c r="AC241" s="30"/>
      <c r="AD241" s="30"/>
    </row>
    <row r="242" spans="1:30" ht="15.75" customHeight="1">
      <c r="A242" s="52"/>
      <c r="B242" s="30"/>
      <c r="C242" s="30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9"/>
      <c r="P242" s="60"/>
      <c r="Q242" s="60"/>
      <c r="R242" s="61"/>
      <c r="S242" s="56"/>
      <c r="T242" s="30"/>
      <c r="U242" s="56"/>
      <c r="V242" s="56"/>
      <c r="W242" s="56"/>
      <c r="X242" s="56"/>
      <c r="Y242" s="30"/>
      <c r="Z242" s="30"/>
      <c r="AA242" s="30"/>
      <c r="AB242" s="30"/>
      <c r="AC242" s="30"/>
      <c r="AD242" s="30"/>
    </row>
    <row r="243" spans="1:30" ht="15.75" customHeight="1">
      <c r="A243" s="52"/>
      <c r="B243" s="30"/>
      <c r="C243" s="30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9"/>
      <c r="P243" s="60"/>
      <c r="Q243" s="60"/>
      <c r="R243" s="61"/>
      <c r="S243" s="56"/>
      <c r="T243" s="30"/>
      <c r="U243" s="56"/>
      <c r="V243" s="56"/>
      <c r="W243" s="56"/>
      <c r="X243" s="56"/>
      <c r="Y243" s="30"/>
      <c r="Z243" s="30"/>
      <c r="AA243" s="30"/>
      <c r="AB243" s="30"/>
      <c r="AC243" s="30"/>
      <c r="AD243" s="30"/>
    </row>
    <row r="244" spans="1:30" ht="15.75" customHeight="1">
      <c r="A244" s="52"/>
      <c r="B244" s="30"/>
      <c r="C244" s="30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9"/>
      <c r="P244" s="60"/>
      <c r="Q244" s="60"/>
      <c r="R244" s="61"/>
      <c r="S244" s="56"/>
      <c r="T244" s="30"/>
      <c r="U244" s="56"/>
      <c r="V244" s="56"/>
      <c r="W244" s="56"/>
      <c r="X244" s="56"/>
      <c r="Y244" s="30"/>
      <c r="Z244" s="30"/>
      <c r="AA244" s="30"/>
      <c r="AB244" s="30"/>
      <c r="AC244" s="30"/>
      <c r="AD244" s="30"/>
    </row>
    <row r="245" spans="1:30" ht="15.75" customHeight="1">
      <c r="A245" s="52"/>
      <c r="B245" s="30"/>
      <c r="C245" s="30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9"/>
      <c r="P245" s="60"/>
      <c r="Q245" s="60"/>
      <c r="R245" s="61"/>
      <c r="S245" s="56"/>
      <c r="T245" s="30"/>
      <c r="U245" s="56"/>
      <c r="V245" s="56"/>
      <c r="W245" s="56"/>
      <c r="X245" s="56"/>
      <c r="Y245" s="30"/>
      <c r="Z245" s="30"/>
      <c r="AA245" s="30"/>
      <c r="AB245" s="30"/>
      <c r="AC245" s="30"/>
      <c r="AD245" s="30"/>
    </row>
    <row r="246" spans="1:30" ht="15.75" customHeight="1">
      <c r="A246" s="52"/>
      <c r="B246" s="30"/>
      <c r="C246" s="30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9"/>
      <c r="P246" s="60"/>
      <c r="Q246" s="60"/>
      <c r="R246" s="61"/>
      <c r="S246" s="56"/>
      <c r="T246" s="30"/>
      <c r="U246" s="56"/>
      <c r="V246" s="56"/>
      <c r="W246" s="56"/>
      <c r="X246" s="56"/>
      <c r="Y246" s="30"/>
      <c r="Z246" s="30"/>
      <c r="AA246" s="30"/>
      <c r="AB246" s="30"/>
      <c r="AC246" s="30"/>
      <c r="AD246" s="30"/>
    </row>
    <row r="247" spans="1:30" ht="15.75" customHeight="1">
      <c r="A247" s="52"/>
      <c r="B247" s="30"/>
      <c r="C247" s="30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9"/>
      <c r="P247" s="60"/>
      <c r="Q247" s="60"/>
      <c r="R247" s="61"/>
      <c r="S247" s="56"/>
      <c r="T247" s="30"/>
      <c r="U247" s="56"/>
      <c r="V247" s="56"/>
      <c r="W247" s="56"/>
      <c r="X247" s="56"/>
      <c r="Y247" s="30"/>
      <c r="Z247" s="30"/>
      <c r="AA247" s="30"/>
      <c r="AB247" s="30"/>
      <c r="AC247" s="30"/>
      <c r="AD247" s="30"/>
    </row>
    <row r="248" spans="1:30" ht="15.75" customHeight="1">
      <c r="A248" s="52"/>
      <c r="B248" s="30"/>
      <c r="C248" s="30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9"/>
      <c r="P248" s="60"/>
      <c r="Q248" s="60"/>
      <c r="R248" s="61"/>
      <c r="S248" s="56"/>
      <c r="T248" s="30"/>
      <c r="U248" s="56"/>
      <c r="V248" s="56"/>
      <c r="W248" s="56"/>
      <c r="X248" s="56"/>
      <c r="Y248" s="30"/>
      <c r="Z248" s="30"/>
      <c r="AA248" s="30"/>
      <c r="AB248" s="30"/>
      <c r="AC248" s="30"/>
      <c r="AD248" s="30"/>
    </row>
    <row r="249" spans="1:30" ht="15.75" customHeight="1">
      <c r="A249" s="52"/>
      <c r="B249" s="30"/>
      <c r="C249" s="30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9"/>
      <c r="P249" s="60"/>
      <c r="Q249" s="60"/>
      <c r="R249" s="61"/>
      <c r="S249" s="56"/>
      <c r="T249" s="30"/>
      <c r="U249" s="56"/>
      <c r="V249" s="56"/>
      <c r="W249" s="56"/>
      <c r="X249" s="56"/>
      <c r="Y249" s="30"/>
      <c r="Z249" s="30"/>
      <c r="AA249" s="30"/>
      <c r="AB249" s="30"/>
      <c r="AC249" s="30"/>
      <c r="AD249" s="30"/>
    </row>
    <row r="250" spans="1:30" ht="15.75" customHeight="1">
      <c r="A250" s="52"/>
      <c r="B250" s="30"/>
      <c r="C250" s="30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9"/>
      <c r="P250" s="60"/>
      <c r="Q250" s="60"/>
      <c r="R250" s="61"/>
      <c r="S250" s="56"/>
      <c r="T250" s="30"/>
      <c r="U250" s="56"/>
      <c r="V250" s="56"/>
      <c r="W250" s="56"/>
      <c r="X250" s="56"/>
      <c r="Y250" s="30"/>
      <c r="Z250" s="30"/>
      <c r="AA250" s="30"/>
      <c r="AB250" s="30"/>
      <c r="AC250" s="30"/>
      <c r="AD250" s="30"/>
    </row>
    <row r="251" spans="1:30" ht="15.75" customHeight="1">
      <c r="A251" s="52"/>
      <c r="B251" s="30"/>
      <c r="C251" s="30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9"/>
      <c r="P251" s="60"/>
      <c r="Q251" s="60"/>
      <c r="R251" s="61"/>
      <c r="S251" s="56"/>
      <c r="T251" s="30"/>
      <c r="U251" s="56"/>
      <c r="V251" s="56"/>
      <c r="W251" s="56"/>
      <c r="X251" s="56"/>
      <c r="Y251" s="30"/>
      <c r="Z251" s="30"/>
      <c r="AA251" s="30"/>
      <c r="AB251" s="30"/>
      <c r="AC251" s="30"/>
      <c r="AD251" s="30"/>
    </row>
    <row r="252" spans="1:30" ht="15.75" customHeight="1">
      <c r="A252" s="52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9"/>
      <c r="P252" s="70"/>
      <c r="Q252" s="70"/>
      <c r="R252" s="71"/>
      <c r="S252" s="72"/>
      <c r="U252" s="72"/>
      <c r="V252" s="72"/>
      <c r="W252" s="72"/>
      <c r="X252" s="72"/>
    </row>
    <row r="253" spans="1:30" ht="15.75" customHeight="1">
      <c r="A253" s="52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9"/>
      <c r="P253" s="70"/>
      <c r="Q253" s="70"/>
      <c r="R253" s="71"/>
      <c r="S253" s="72"/>
      <c r="U253" s="72"/>
      <c r="V253" s="72"/>
      <c r="W253" s="72"/>
      <c r="X253" s="72"/>
    </row>
    <row r="254" spans="1:30" ht="15.75" customHeight="1">
      <c r="A254" s="52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9"/>
      <c r="P254" s="70"/>
      <c r="Q254" s="70"/>
      <c r="R254" s="71"/>
      <c r="S254" s="72"/>
      <c r="U254" s="72"/>
      <c r="V254" s="72"/>
      <c r="W254" s="72"/>
      <c r="X254" s="72"/>
    </row>
    <row r="255" spans="1:30" ht="15.75" customHeight="1">
      <c r="A255" s="52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9"/>
      <c r="P255" s="70"/>
      <c r="Q255" s="70"/>
      <c r="R255" s="71"/>
      <c r="S255" s="72"/>
      <c r="U255" s="72"/>
      <c r="V255" s="72"/>
      <c r="W255" s="72"/>
      <c r="X255" s="72"/>
    </row>
    <row r="256" spans="1:30" ht="15.75" customHeight="1">
      <c r="A256" s="52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9"/>
      <c r="P256" s="70"/>
      <c r="Q256" s="70"/>
      <c r="R256" s="71"/>
      <c r="S256" s="72"/>
      <c r="U256" s="72"/>
      <c r="V256" s="72"/>
      <c r="W256" s="72"/>
      <c r="X256" s="72"/>
    </row>
    <row r="257" spans="1:24" ht="15.75" customHeight="1">
      <c r="A257" s="52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9"/>
      <c r="P257" s="70"/>
      <c r="Q257" s="70"/>
      <c r="R257" s="71"/>
      <c r="S257" s="72"/>
      <c r="U257" s="72"/>
      <c r="V257" s="72"/>
      <c r="W257" s="72"/>
      <c r="X257" s="72"/>
    </row>
    <row r="258" spans="1:24" ht="15.75" customHeight="1">
      <c r="A258" s="52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9"/>
      <c r="P258" s="70"/>
      <c r="Q258" s="70"/>
      <c r="R258" s="71"/>
      <c r="S258" s="72"/>
      <c r="U258" s="72"/>
      <c r="V258" s="72"/>
      <c r="W258" s="72"/>
      <c r="X258" s="72"/>
    </row>
    <row r="259" spans="1:24" ht="15.75" customHeight="1">
      <c r="A259" s="52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9"/>
      <c r="P259" s="70"/>
      <c r="Q259" s="70"/>
      <c r="R259" s="71"/>
      <c r="S259" s="72"/>
      <c r="U259" s="72"/>
      <c r="V259" s="72"/>
      <c r="W259" s="72"/>
      <c r="X259" s="72"/>
    </row>
    <row r="260" spans="1:24" ht="15.75" customHeight="1">
      <c r="A260" s="52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9"/>
      <c r="P260" s="70"/>
      <c r="Q260" s="70"/>
      <c r="R260" s="71"/>
      <c r="S260" s="72"/>
      <c r="U260" s="72"/>
      <c r="V260" s="72"/>
      <c r="W260" s="72"/>
      <c r="X260" s="72"/>
    </row>
    <row r="261" spans="1:24" ht="15.75" customHeight="1">
      <c r="A261" s="52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9"/>
      <c r="P261" s="70"/>
      <c r="Q261" s="70"/>
      <c r="R261" s="71"/>
      <c r="S261" s="72"/>
      <c r="U261" s="72"/>
      <c r="V261" s="72"/>
      <c r="W261" s="72"/>
      <c r="X261" s="72"/>
    </row>
    <row r="262" spans="1:24" ht="15.75" customHeight="1">
      <c r="A262" s="52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9"/>
      <c r="P262" s="70"/>
      <c r="Q262" s="70"/>
      <c r="R262" s="71"/>
      <c r="S262" s="72"/>
      <c r="U262" s="72"/>
      <c r="V262" s="72"/>
      <c r="W262" s="72"/>
      <c r="X262" s="72"/>
    </row>
    <row r="263" spans="1:24" ht="15.75" customHeight="1">
      <c r="A263" s="52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9"/>
      <c r="P263" s="70"/>
      <c r="Q263" s="70"/>
      <c r="R263" s="71"/>
      <c r="S263" s="72"/>
      <c r="U263" s="72"/>
      <c r="V263" s="72"/>
      <c r="W263" s="72"/>
      <c r="X263" s="72"/>
    </row>
    <row r="264" spans="1:24" ht="15.75" customHeight="1">
      <c r="A264" s="52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9"/>
      <c r="P264" s="70"/>
      <c r="Q264" s="70"/>
      <c r="R264" s="71"/>
      <c r="S264" s="72"/>
      <c r="U264" s="72"/>
      <c r="V264" s="72"/>
      <c r="W264" s="72"/>
      <c r="X264" s="72"/>
    </row>
    <row r="265" spans="1:24" ht="15.75" customHeight="1">
      <c r="A265" s="52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9"/>
      <c r="P265" s="70"/>
      <c r="Q265" s="70"/>
      <c r="R265" s="71"/>
      <c r="S265" s="72"/>
      <c r="U265" s="72"/>
      <c r="V265" s="72"/>
      <c r="W265" s="72"/>
      <c r="X265" s="72"/>
    </row>
    <row r="266" spans="1:24" ht="15.75" customHeight="1">
      <c r="A266" s="52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9"/>
      <c r="P266" s="70"/>
      <c r="Q266" s="70"/>
      <c r="R266" s="71"/>
      <c r="S266" s="72"/>
      <c r="U266" s="72"/>
      <c r="V266" s="72"/>
      <c r="W266" s="72"/>
      <c r="X266" s="72"/>
    </row>
    <row r="267" spans="1:24" ht="15.75" customHeight="1">
      <c r="A267" s="52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9"/>
      <c r="P267" s="70"/>
      <c r="Q267" s="70"/>
      <c r="R267" s="71"/>
      <c r="S267" s="72"/>
      <c r="U267" s="72"/>
      <c r="V267" s="72"/>
      <c r="W267" s="72"/>
      <c r="X267" s="72"/>
    </row>
    <row r="268" spans="1:24" ht="15.75" customHeight="1">
      <c r="A268" s="52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9"/>
      <c r="P268" s="70"/>
      <c r="Q268" s="70"/>
      <c r="R268" s="71"/>
      <c r="S268" s="72"/>
      <c r="U268" s="72"/>
      <c r="V268" s="72"/>
      <c r="W268" s="72"/>
      <c r="X268" s="72"/>
    </row>
    <row r="269" spans="1:24" ht="15.75" customHeight="1">
      <c r="A269" s="52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9"/>
      <c r="P269" s="70"/>
      <c r="Q269" s="70"/>
      <c r="R269" s="71"/>
      <c r="S269" s="72"/>
      <c r="U269" s="72"/>
      <c r="V269" s="72"/>
      <c r="W269" s="72"/>
      <c r="X269" s="72"/>
    </row>
    <row r="270" spans="1:24" ht="15.75" customHeight="1">
      <c r="A270" s="52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9"/>
      <c r="P270" s="70"/>
      <c r="Q270" s="70"/>
      <c r="R270" s="71"/>
      <c r="S270" s="72"/>
      <c r="U270" s="72"/>
      <c r="V270" s="72"/>
      <c r="W270" s="72"/>
      <c r="X270" s="72"/>
    </row>
    <row r="271" spans="1:24" ht="15.75" customHeight="1">
      <c r="A271" s="52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9"/>
      <c r="P271" s="70"/>
      <c r="Q271" s="70"/>
      <c r="R271" s="71"/>
      <c r="S271" s="72"/>
      <c r="U271" s="72"/>
      <c r="V271" s="72"/>
      <c r="W271" s="72"/>
      <c r="X271" s="72"/>
    </row>
    <row r="272" spans="1:24" ht="15.75" customHeight="1">
      <c r="A272" s="52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9"/>
      <c r="P272" s="70"/>
      <c r="Q272" s="70"/>
      <c r="R272" s="71"/>
      <c r="S272" s="72"/>
      <c r="U272" s="72"/>
      <c r="V272" s="72"/>
      <c r="W272" s="72"/>
      <c r="X272" s="72"/>
    </row>
    <row r="273" spans="1:24" ht="15.75" customHeight="1">
      <c r="A273" s="52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9"/>
      <c r="P273" s="70"/>
      <c r="Q273" s="70"/>
      <c r="R273" s="71"/>
      <c r="S273" s="72"/>
      <c r="U273" s="72"/>
      <c r="V273" s="72"/>
      <c r="W273" s="72"/>
      <c r="X273" s="72"/>
    </row>
    <row r="274" spans="1:24" ht="15.75" customHeight="1">
      <c r="A274" s="52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9"/>
      <c r="P274" s="70"/>
      <c r="Q274" s="70"/>
      <c r="R274" s="71"/>
      <c r="S274" s="72"/>
      <c r="U274" s="72"/>
      <c r="V274" s="72"/>
      <c r="W274" s="72"/>
      <c r="X274" s="72"/>
    </row>
    <row r="275" spans="1:24" ht="15.75" customHeight="1">
      <c r="A275" s="52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9"/>
      <c r="P275" s="70"/>
      <c r="Q275" s="70"/>
      <c r="R275" s="71"/>
      <c r="S275" s="72"/>
      <c r="U275" s="72"/>
      <c r="V275" s="72"/>
      <c r="W275" s="72"/>
      <c r="X275" s="72"/>
    </row>
    <row r="276" spans="1:24" ht="15.75" customHeight="1">
      <c r="A276" s="52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9"/>
      <c r="P276" s="70"/>
      <c r="Q276" s="70"/>
      <c r="R276" s="71"/>
      <c r="S276" s="72"/>
      <c r="U276" s="72"/>
      <c r="V276" s="72"/>
      <c r="W276" s="72"/>
      <c r="X276" s="72"/>
    </row>
    <row r="277" spans="1:24" ht="15.75" customHeight="1">
      <c r="A277" s="52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9"/>
      <c r="P277" s="70"/>
      <c r="Q277" s="70"/>
      <c r="R277" s="71"/>
      <c r="S277" s="72"/>
      <c r="U277" s="72"/>
      <c r="V277" s="72"/>
      <c r="W277" s="72"/>
      <c r="X277" s="72"/>
    </row>
    <row r="278" spans="1:24" ht="15.75" customHeight="1">
      <c r="A278" s="52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9"/>
      <c r="P278" s="70"/>
      <c r="Q278" s="70"/>
      <c r="R278" s="71"/>
      <c r="S278" s="72"/>
      <c r="U278" s="72"/>
      <c r="V278" s="72"/>
      <c r="W278" s="72"/>
      <c r="X278" s="72"/>
    </row>
    <row r="279" spans="1:24" ht="15.75" customHeight="1">
      <c r="A279" s="52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9"/>
      <c r="P279" s="70"/>
      <c r="Q279" s="70"/>
      <c r="R279" s="71"/>
      <c r="S279" s="72"/>
      <c r="U279" s="72"/>
      <c r="V279" s="72"/>
      <c r="W279" s="72"/>
      <c r="X279" s="72"/>
    </row>
    <row r="280" spans="1:24" ht="15.75" customHeight="1">
      <c r="A280" s="52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9"/>
      <c r="P280" s="70"/>
      <c r="Q280" s="70"/>
      <c r="R280" s="71"/>
      <c r="S280" s="72"/>
      <c r="U280" s="72"/>
      <c r="V280" s="72"/>
      <c r="W280" s="72"/>
      <c r="X280" s="72"/>
    </row>
    <row r="281" spans="1:24" ht="15.75" customHeight="1">
      <c r="A281" s="52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9"/>
      <c r="P281" s="70"/>
      <c r="Q281" s="70"/>
      <c r="R281" s="71"/>
      <c r="S281" s="72"/>
      <c r="U281" s="72"/>
      <c r="V281" s="72"/>
      <c r="W281" s="72"/>
      <c r="X281" s="72"/>
    </row>
    <row r="282" spans="1:24" ht="15.75" customHeight="1">
      <c r="A282" s="52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9"/>
      <c r="P282" s="70"/>
      <c r="Q282" s="70"/>
      <c r="R282" s="71"/>
      <c r="S282" s="72"/>
      <c r="U282" s="72"/>
      <c r="V282" s="72"/>
      <c r="W282" s="72"/>
      <c r="X282" s="72"/>
    </row>
    <row r="283" spans="1:24" ht="15.75" customHeight="1">
      <c r="A283" s="52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9"/>
      <c r="P283" s="70"/>
      <c r="Q283" s="70"/>
      <c r="R283" s="71"/>
      <c r="S283" s="72"/>
      <c r="U283" s="72"/>
      <c r="V283" s="72"/>
      <c r="W283" s="72"/>
      <c r="X283" s="72"/>
    </row>
    <row r="284" spans="1:24" ht="15.75" customHeight="1">
      <c r="A284" s="52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9"/>
      <c r="P284" s="70"/>
      <c r="Q284" s="70"/>
      <c r="R284" s="71"/>
      <c r="S284" s="72"/>
      <c r="U284" s="72"/>
      <c r="V284" s="72"/>
      <c r="W284" s="72"/>
      <c r="X284" s="72"/>
    </row>
    <row r="285" spans="1:24" ht="15.75" customHeight="1">
      <c r="A285" s="52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9"/>
      <c r="P285" s="70"/>
      <c r="Q285" s="70"/>
      <c r="R285" s="71"/>
      <c r="S285" s="72"/>
      <c r="U285" s="72"/>
      <c r="V285" s="72"/>
      <c r="W285" s="72"/>
      <c r="X285" s="72"/>
    </row>
    <row r="286" spans="1:24" ht="15.75" customHeight="1">
      <c r="A286" s="52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9"/>
      <c r="P286" s="70"/>
      <c r="Q286" s="70"/>
      <c r="R286" s="71"/>
      <c r="S286" s="72"/>
      <c r="U286" s="72"/>
      <c r="V286" s="72"/>
      <c r="W286" s="72"/>
      <c r="X286" s="72"/>
    </row>
    <row r="287" spans="1:24" ht="15.75" customHeight="1">
      <c r="A287" s="52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9"/>
      <c r="P287" s="70"/>
      <c r="Q287" s="70"/>
      <c r="R287" s="71"/>
      <c r="S287" s="72"/>
      <c r="U287" s="72"/>
      <c r="V287" s="72"/>
      <c r="W287" s="72"/>
      <c r="X287" s="72"/>
    </row>
    <row r="288" spans="1:24" ht="15.75" customHeight="1">
      <c r="A288" s="52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9"/>
      <c r="P288" s="70"/>
      <c r="Q288" s="70"/>
      <c r="R288" s="71"/>
      <c r="S288" s="72"/>
      <c r="U288" s="72"/>
      <c r="V288" s="72"/>
      <c r="W288" s="72"/>
      <c r="X288" s="72"/>
    </row>
    <row r="289" spans="4:24" ht="15.75" customHeight="1"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9"/>
      <c r="P289" s="70"/>
      <c r="Q289" s="70"/>
      <c r="R289" s="71"/>
      <c r="S289" s="72"/>
      <c r="U289" s="72"/>
      <c r="V289" s="72"/>
      <c r="W289" s="72"/>
      <c r="X289" s="72"/>
    </row>
    <row r="290" spans="4:24" ht="15.75" customHeight="1"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9"/>
      <c r="P290" s="70"/>
      <c r="Q290" s="70"/>
      <c r="R290" s="71"/>
      <c r="S290" s="72"/>
      <c r="U290" s="72"/>
      <c r="V290" s="72"/>
      <c r="W290" s="72"/>
      <c r="X290" s="72"/>
    </row>
    <row r="291" spans="4:24" ht="15.75" customHeight="1"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9"/>
      <c r="P291" s="70"/>
      <c r="Q291" s="70"/>
      <c r="R291" s="71"/>
      <c r="S291" s="72"/>
      <c r="U291" s="72"/>
      <c r="V291" s="72"/>
      <c r="W291" s="72"/>
      <c r="X291" s="72"/>
    </row>
    <row r="292" spans="4:24" ht="15.75" customHeight="1"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9"/>
      <c r="P292" s="70"/>
      <c r="Q292" s="70"/>
      <c r="R292" s="71"/>
      <c r="S292" s="72"/>
      <c r="U292" s="72"/>
      <c r="V292" s="72"/>
      <c r="W292" s="72"/>
      <c r="X292" s="72"/>
    </row>
    <row r="293" spans="4:24" ht="15.75" customHeight="1"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9"/>
      <c r="P293" s="70"/>
      <c r="Q293" s="70"/>
      <c r="R293" s="71"/>
      <c r="S293" s="72"/>
      <c r="U293" s="72"/>
      <c r="V293" s="72"/>
      <c r="W293" s="72"/>
      <c r="X293" s="72"/>
    </row>
    <row r="294" spans="4:24" ht="15.75" customHeight="1"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9"/>
      <c r="P294" s="70"/>
      <c r="Q294" s="70"/>
      <c r="R294" s="71"/>
      <c r="S294" s="72"/>
      <c r="U294" s="72"/>
      <c r="V294" s="72"/>
      <c r="W294" s="72"/>
      <c r="X294" s="72"/>
    </row>
    <row r="295" spans="4:24" ht="15.75" customHeight="1"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9"/>
      <c r="P295" s="70"/>
      <c r="Q295" s="70"/>
      <c r="R295" s="71"/>
      <c r="S295" s="72"/>
      <c r="U295" s="72"/>
      <c r="V295" s="72"/>
      <c r="W295" s="72"/>
      <c r="X295" s="72"/>
    </row>
    <row r="296" spans="4:24" ht="15.75" customHeight="1"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9"/>
      <c r="P296" s="70"/>
      <c r="Q296" s="70"/>
      <c r="R296" s="71"/>
      <c r="S296" s="72"/>
      <c r="U296" s="72"/>
      <c r="V296" s="72"/>
      <c r="W296" s="72"/>
      <c r="X296" s="72"/>
    </row>
    <row r="297" spans="4:24" ht="15.75" customHeight="1"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9"/>
      <c r="P297" s="70"/>
      <c r="Q297" s="70"/>
      <c r="R297" s="71"/>
      <c r="S297" s="72"/>
      <c r="U297" s="72"/>
      <c r="V297" s="72"/>
      <c r="W297" s="72"/>
      <c r="X297" s="72"/>
    </row>
    <row r="298" spans="4:24" ht="15.75" customHeight="1"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9"/>
      <c r="P298" s="70"/>
      <c r="Q298" s="70"/>
      <c r="R298" s="71"/>
      <c r="S298" s="72"/>
      <c r="U298" s="72"/>
      <c r="V298" s="72"/>
      <c r="W298" s="72"/>
      <c r="X298" s="72"/>
    </row>
    <row r="299" spans="4:24" ht="15.75" customHeight="1"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9"/>
      <c r="P299" s="70"/>
      <c r="Q299" s="70"/>
      <c r="R299" s="71"/>
      <c r="S299" s="72"/>
      <c r="U299" s="72"/>
      <c r="V299" s="72"/>
      <c r="W299" s="72"/>
      <c r="X299" s="72"/>
    </row>
    <row r="300" spans="4:24" ht="15.75" customHeight="1"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9"/>
      <c r="P300" s="70"/>
      <c r="Q300" s="70"/>
      <c r="R300" s="71"/>
      <c r="S300" s="72"/>
      <c r="U300" s="72"/>
      <c r="V300" s="72"/>
      <c r="W300" s="72"/>
      <c r="X300" s="72"/>
    </row>
    <row r="301" spans="4:24" ht="15.75" customHeight="1"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9"/>
      <c r="P301" s="70"/>
      <c r="Q301" s="70"/>
      <c r="R301" s="71"/>
      <c r="S301" s="72"/>
      <c r="U301" s="72"/>
      <c r="V301" s="72"/>
      <c r="W301" s="72"/>
      <c r="X301" s="72"/>
    </row>
    <row r="302" spans="4:24" ht="15.75" customHeight="1"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9"/>
      <c r="P302" s="70"/>
      <c r="Q302" s="70"/>
      <c r="R302" s="71"/>
      <c r="S302" s="72"/>
      <c r="U302" s="72"/>
      <c r="V302" s="72"/>
      <c r="W302" s="72"/>
      <c r="X302" s="72"/>
    </row>
    <row r="303" spans="4:24" ht="15.75" customHeight="1"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9"/>
      <c r="P303" s="70"/>
      <c r="Q303" s="70"/>
      <c r="R303" s="71"/>
      <c r="S303" s="72"/>
      <c r="U303" s="72"/>
      <c r="V303" s="72"/>
      <c r="W303" s="72"/>
      <c r="X303" s="72"/>
    </row>
    <row r="304" spans="4:24" ht="15.75" customHeight="1"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9"/>
      <c r="P304" s="70"/>
      <c r="Q304" s="70"/>
      <c r="R304" s="71"/>
      <c r="S304" s="72"/>
      <c r="U304" s="72"/>
      <c r="V304" s="72"/>
      <c r="W304" s="72"/>
      <c r="X304" s="72"/>
    </row>
    <row r="305" spans="4:24" ht="15.75" customHeight="1"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9"/>
      <c r="P305" s="70"/>
      <c r="Q305" s="70"/>
      <c r="R305" s="71"/>
      <c r="S305" s="72"/>
      <c r="U305" s="72"/>
      <c r="V305" s="72"/>
      <c r="W305" s="72"/>
      <c r="X305" s="72"/>
    </row>
    <row r="306" spans="4:24" ht="15.75" customHeight="1"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9"/>
      <c r="P306" s="70"/>
      <c r="Q306" s="70"/>
      <c r="R306" s="71"/>
      <c r="S306" s="72"/>
      <c r="U306" s="72"/>
      <c r="V306" s="72"/>
      <c r="W306" s="72"/>
      <c r="X306" s="72"/>
    </row>
    <row r="307" spans="4:24" ht="15.75" customHeight="1"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9"/>
      <c r="P307" s="70"/>
      <c r="Q307" s="70"/>
      <c r="R307" s="71"/>
      <c r="S307" s="72"/>
      <c r="U307" s="72"/>
      <c r="V307" s="72"/>
      <c r="W307" s="72"/>
      <c r="X307" s="72"/>
    </row>
    <row r="308" spans="4:24" ht="15.75" customHeight="1"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9"/>
      <c r="P308" s="70"/>
      <c r="Q308" s="70"/>
      <c r="R308" s="71"/>
      <c r="S308" s="72"/>
      <c r="U308" s="72"/>
      <c r="V308" s="72"/>
      <c r="W308" s="72"/>
      <c r="X308" s="72"/>
    </row>
    <row r="309" spans="4:24" ht="15.75" customHeight="1"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9"/>
      <c r="P309" s="70"/>
      <c r="Q309" s="70"/>
      <c r="R309" s="71"/>
      <c r="S309" s="72"/>
      <c r="U309" s="72"/>
      <c r="V309" s="72"/>
      <c r="W309" s="72"/>
      <c r="X309" s="72"/>
    </row>
    <row r="310" spans="4:24" ht="15.75" customHeight="1"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9"/>
      <c r="P310" s="70"/>
      <c r="Q310" s="70"/>
      <c r="R310" s="71"/>
      <c r="S310" s="72"/>
      <c r="U310" s="72"/>
      <c r="V310" s="72"/>
      <c r="W310" s="72"/>
      <c r="X310" s="72"/>
    </row>
    <row r="311" spans="4:24" ht="15.75" customHeight="1"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9"/>
      <c r="P311" s="70"/>
      <c r="Q311" s="70"/>
      <c r="R311" s="71"/>
      <c r="S311" s="72"/>
      <c r="U311" s="72"/>
      <c r="V311" s="72"/>
      <c r="W311" s="72"/>
      <c r="X311" s="72"/>
    </row>
    <row r="312" spans="4:24" ht="15.75" customHeight="1"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9"/>
      <c r="P312" s="70"/>
      <c r="Q312" s="70"/>
      <c r="R312" s="71"/>
      <c r="S312" s="72"/>
      <c r="U312" s="72"/>
      <c r="V312" s="72"/>
      <c r="W312" s="72"/>
      <c r="X312" s="72"/>
    </row>
    <row r="313" spans="4:24" ht="15.75" customHeight="1"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9"/>
      <c r="P313" s="70"/>
      <c r="Q313" s="70"/>
      <c r="R313" s="71"/>
      <c r="S313" s="72"/>
      <c r="U313" s="72"/>
      <c r="V313" s="72"/>
      <c r="W313" s="72"/>
      <c r="X313" s="72"/>
    </row>
    <row r="314" spans="4:24" ht="15.75" customHeight="1"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9"/>
      <c r="P314" s="70"/>
      <c r="Q314" s="70"/>
      <c r="R314" s="71"/>
      <c r="S314" s="72"/>
      <c r="U314" s="72"/>
      <c r="V314" s="72"/>
      <c r="W314" s="72"/>
      <c r="X314" s="72"/>
    </row>
    <row r="315" spans="4:24" ht="15.75" customHeight="1"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9"/>
      <c r="P315" s="70"/>
      <c r="Q315" s="70"/>
      <c r="R315" s="71"/>
      <c r="S315" s="72"/>
      <c r="U315" s="72"/>
      <c r="V315" s="72"/>
      <c r="W315" s="72"/>
      <c r="X315" s="72"/>
    </row>
    <row r="316" spans="4:24" ht="15.75" customHeight="1"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9"/>
      <c r="P316" s="70"/>
      <c r="Q316" s="70"/>
      <c r="R316" s="71"/>
      <c r="S316" s="72"/>
      <c r="U316" s="72"/>
      <c r="V316" s="72"/>
      <c r="W316" s="72"/>
      <c r="X316" s="72"/>
    </row>
    <row r="317" spans="4:24" ht="15.75" customHeight="1"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9"/>
      <c r="P317" s="70"/>
      <c r="Q317" s="70"/>
      <c r="R317" s="71"/>
      <c r="S317" s="72"/>
      <c r="U317" s="72"/>
      <c r="V317" s="72"/>
      <c r="W317" s="72"/>
      <c r="X317" s="72"/>
    </row>
    <row r="318" spans="4:24" ht="15.75" customHeight="1"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9"/>
      <c r="P318" s="70"/>
      <c r="Q318" s="70"/>
      <c r="R318" s="71"/>
      <c r="S318" s="72"/>
      <c r="U318" s="72"/>
      <c r="V318" s="72"/>
      <c r="W318" s="72"/>
      <c r="X318" s="72"/>
    </row>
    <row r="319" spans="4:24" ht="15.75" customHeight="1"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9"/>
      <c r="P319" s="70"/>
      <c r="Q319" s="70"/>
      <c r="R319" s="71"/>
      <c r="S319" s="72"/>
      <c r="U319" s="72"/>
      <c r="V319" s="72"/>
      <c r="W319" s="72"/>
      <c r="X319" s="72"/>
    </row>
    <row r="320" spans="4:24" ht="15.75" customHeight="1"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9"/>
      <c r="P320" s="70"/>
      <c r="Q320" s="70"/>
      <c r="R320" s="71"/>
      <c r="S320" s="72"/>
      <c r="U320" s="72"/>
      <c r="V320" s="72"/>
      <c r="W320" s="72"/>
      <c r="X320" s="72"/>
    </row>
    <row r="321" spans="4:24" ht="15.75" customHeight="1"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9"/>
      <c r="P321" s="70"/>
      <c r="Q321" s="70"/>
      <c r="R321" s="71"/>
      <c r="S321" s="72"/>
      <c r="U321" s="72"/>
      <c r="V321" s="72"/>
      <c r="W321" s="72"/>
      <c r="X321" s="72"/>
    </row>
    <row r="322" spans="4:24" ht="15.75" customHeight="1"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9"/>
      <c r="P322" s="70"/>
      <c r="Q322" s="70"/>
      <c r="R322" s="71"/>
      <c r="S322" s="72"/>
      <c r="U322" s="72"/>
      <c r="V322" s="72"/>
      <c r="W322" s="72"/>
      <c r="X322" s="72"/>
    </row>
    <row r="323" spans="4:24" ht="15.75" customHeight="1"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9"/>
      <c r="P323" s="70"/>
      <c r="Q323" s="70"/>
      <c r="R323" s="71"/>
      <c r="S323" s="72"/>
      <c r="U323" s="72"/>
      <c r="V323" s="72"/>
      <c r="W323" s="72"/>
      <c r="X323" s="72"/>
    </row>
    <row r="324" spans="4:24" ht="15.75" customHeight="1"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9"/>
      <c r="P324" s="70"/>
      <c r="Q324" s="70"/>
      <c r="R324" s="71"/>
      <c r="S324" s="72"/>
      <c r="U324" s="72"/>
      <c r="V324" s="72"/>
      <c r="W324" s="72"/>
      <c r="X324" s="72"/>
    </row>
    <row r="325" spans="4:24" ht="15.75" customHeight="1"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9"/>
      <c r="P325" s="70"/>
      <c r="Q325" s="70"/>
      <c r="R325" s="71"/>
      <c r="S325" s="72"/>
      <c r="U325" s="72"/>
      <c r="V325" s="72"/>
      <c r="W325" s="72"/>
      <c r="X325" s="72"/>
    </row>
    <row r="326" spans="4:24" ht="15.75" customHeight="1"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9"/>
      <c r="P326" s="70"/>
      <c r="Q326" s="70"/>
      <c r="R326" s="71"/>
      <c r="S326" s="72"/>
      <c r="U326" s="72"/>
      <c r="V326" s="72"/>
      <c r="W326" s="72"/>
      <c r="X326" s="72"/>
    </row>
    <row r="327" spans="4:24" ht="15.75" customHeight="1"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9"/>
      <c r="P327" s="70"/>
      <c r="Q327" s="70"/>
      <c r="R327" s="71"/>
      <c r="S327" s="72"/>
      <c r="U327" s="72"/>
      <c r="V327" s="72"/>
      <c r="W327" s="72"/>
      <c r="X327" s="72"/>
    </row>
    <row r="328" spans="4:24" ht="15.75" customHeight="1"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9"/>
      <c r="P328" s="70"/>
      <c r="Q328" s="70"/>
      <c r="R328" s="71"/>
      <c r="S328" s="72"/>
      <c r="U328" s="72"/>
      <c r="V328" s="72"/>
      <c r="W328" s="72"/>
      <c r="X328" s="72"/>
    </row>
    <row r="329" spans="4:24" ht="15.75" customHeight="1"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9"/>
      <c r="P329" s="70"/>
      <c r="Q329" s="70"/>
      <c r="R329" s="71"/>
      <c r="S329" s="72"/>
      <c r="U329" s="72"/>
      <c r="V329" s="72"/>
      <c r="W329" s="72"/>
      <c r="X329" s="72"/>
    </row>
    <row r="330" spans="4:24" ht="15.75" customHeight="1"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9"/>
      <c r="P330" s="70"/>
      <c r="Q330" s="70"/>
      <c r="R330" s="71"/>
      <c r="S330" s="72"/>
      <c r="U330" s="72"/>
      <c r="V330" s="72"/>
      <c r="W330" s="72"/>
      <c r="X330" s="72"/>
    </row>
    <row r="331" spans="4:24" ht="15.75" customHeight="1"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9"/>
      <c r="P331" s="70"/>
      <c r="Q331" s="70"/>
      <c r="R331" s="71"/>
      <c r="S331" s="72"/>
      <c r="U331" s="72"/>
      <c r="V331" s="72"/>
      <c r="W331" s="72"/>
      <c r="X331" s="72"/>
    </row>
    <row r="332" spans="4:24" ht="15.75" customHeight="1"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9"/>
      <c r="P332" s="70"/>
      <c r="Q332" s="70"/>
      <c r="R332" s="71"/>
      <c r="S332" s="72"/>
      <c r="U332" s="72"/>
      <c r="V332" s="72"/>
      <c r="W332" s="72"/>
      <c r="X332" s="72"/>
    </row>
    <row r="333" spans="4:24" ht="15.75" customHeight="1"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9"/>
      <c r="P333" s="70"/>
      <c r="Q333" s="70"/>
      <c r="R333" s="71"/>
      <c r="S333" s="72"/>
      <c r="U333" s="72"/>
      <c r="V333" s="72"/>
      <c r="W333" s="72"/>
      <c r="X333" s="72"/>
    </row>
    <row r="334" spans="4:24" ht="15.75" customHeight="1"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9"/>
      <c r="P334" s="70"/>
      <c r="Q334" s="70"/>
      <c r="R334" s="71"/>
      <c r="S334" s="72"/>
      <c r="U334" s="72"/>
      <c r="V334" s="72"/>
      <c r="W334" s="72"/>
      <c r="X334" s="72"/>
    </row>
    <row r="335" spans="4:24" ht="15.75" customHeight="1"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9"/>
      <c r="P335" s="70"/>
      <c r="Q335" s="70"/>
      <c r="R335" s="71"/>
      <c r="S335" s="72"/>
      <c r="U335" s="72"/>
      <c r="V335" s="72"/>
      <c r="W335" s="72"/>
      <c r="X335" s="72"/>
    </row>
    <row r="336" spans="4:24" ht="15.75" customHeight="1"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9"/>
      <c r="P336" s="70"/>
      <c r="Q336" s="70"/>
      <c r="R336" s="71"/>
      <c r="S336" s="72"/>
      <c r="U336" s="72"/>
      <c r="V336" s="72"/>
      <c r="W336" s="72"/>
      <c r="X336" s="72"/>
    </row>
    <row r="337" spans="4:24" ht="15.75" customHeight="1"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9"/>
      <c r="P337" s="70"/>
      <c r="Q337" s="70"/>
      <c r="R337" s="71"/>
      <c r="S337" s="72"/>
      <c r="U337" s="72"/>
      <c r="V337" s="72"/>
      <c r="W337" s="72"/>
      <c r="X337" s="72"/>
    </row>
    <row r="338" spans="4:24" ht="15.75" customHeight="1"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9"/>
      <c r="P338" s="70"/>
      <c r="Q338" s="70"/>
      <c r="R338" s="71"/>
      <c r="S338" s="72"/>
      <c r="U338" s="72"/>
      <c r="V338" s="72"/>
      <c r="W338" s="72"/>
      <c r="X338" s="72"/>
    </row>
    <row r="339" spans="4:24" ht="15.75" customHeight="1"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9"/>
      <c r="P339" s="70"/>
      <c r="Q339" s="70"/>
      <c r="R339" s="71"/>
      <c r="S339" s="72"/>
      <c r="U339" s="72"/>
      <c r="V339" s="72"/>
      <c r="W339" s="72"/>
      <c r="X339" s="72"/>
    </row>
    <row r="340" spans="4:24" ht="15.75" customHeight="1"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9"/>
      <c r="P340" s="70"/>
      <c r="Q340" s="70"/>
      <c r="R340" s="71"/>
      <c r="S340" s="72"/>
      <c r="U340" s="72"/>
      <c r="V340" s="72"/>
      <c r="W340" s="72"/>
      <c r="X340" s="72"/>
    </row>
    <row r="341" spans="4:24" ht="15.75" customHeight="1"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9"/>
      <c r="P341" s="70"/>
      <c r="Q341" s="70"/>
      <c r="R341" s="71"/>
      <c r="S341" s="72"/>
      <c r="U341" s="72"/>
      <c r="V341" s="72"/>
      <c r="W341" s="72"/>
      <c r="X341" s="72"/>
    </row>
    <row r="342" spans="4:24" ht="15.75" customHeight="1"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9"/>
      <c r="P342" s="70"/>
      <c r="Q342" s="70"/>
      <c r="R342" s="71"/>
      <c r="S342" s="72"/>
      <c r="U342" s="72"/>
      <c r="V342" s="72"/>
      <c r="W342" s="72"/>
      <c r="X342" s="72"/>
    </row>
    <row r="343" spans="4:24" ht="15.75" customHeight="1"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9"/>
      <c r="P343" s="70"/>
      <c r="Q343" s="70"/>
      <c r="R343" s="71"/>
      <c r="S343" s="72"/>
      <c r="U343" s="72"/>
      <c r="V343" s="72"/>
      <c r="W343" s="72"/>
      <c r="X343" s="72"/>
    </row>
    <row r="344" spans="4:24" ht="15.75" customHeight="1"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9"/>
      <c r="P344" s="70"/>
      <c r="Q344" s="70"/>
      <c r="R344" s="71"/>
      <c r="S344" s="72"/>
      <c r="U344" s="72"/>
      <c r="V344" s="72"/>
      <c r="W344" s="72"/>
      <c r="X344" s="72"/>
    </row>
    <row r="345" spans="4:24" ht="15.75" customHeight="1"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9"/>
      <c r="P345" s="70"/>
      <c r="Q345" s="70"/>
      <c r="R345" s="71"/>
      <c r="S345" s="72"/>
      <c r="U345" s="72"/>
      <c r="V345" s="72"/>
      <c r="W345" s="72"/>
      <c r="X345" s="72"/>
    </row>
    <row r="346" spans="4:24" ht="15.75" customHeight="1"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9"/>
      <c r="P346" s="70"/>
      <c r="Q346" s="70"/>
      <c r="R346" s="71"/>
      <c r="S346" s="72"/>
      <c r="U346" s="72"/>
      <c r="V346" s="72"/>
      <c r="W346" s="72"/>
      <c r="X346" s="72"/>
    </row>
    <row r="347" spans="4:24" ht="15.75" customHeight="1"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9"/>
      <c r="P347" s="70"/>
      <c r="Q347" s="70"/>
      <c r="R347" s="71"/>
      <c r="S347" s="72"/>
      <c r="U347" s="72"/>
      <c r="V347" s="72"/>
      <c r="W347" s="72"/>
      <c r="X347" s="72"/>
    </row>
    <row r="348" spans="4:24" ht="15.75" customHeight="1"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9"/>
      <c r="P348" s="70"/>
      <c r="Q348" s="70"/>
      <c r="R348" s="71"/>
      <c r="S348" s="72"/>
      <c r="U348" s="72"/>
      <c r="V348" s="72"/>
      <c r="W348" s="72"/>
      <c r="X348" s="72"/>
    </row>
    <row r="349" spans="4:24" ht="15.75" customHeight="1"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9"/>
      <c r="P349" s="70"/>
      <c r="Q349" s="70"/>
      <c r="R349" s="71"/>
      <c r="S349" s="72"/>
      <c r="U349" s="72"/>
      <c r="V349" s="72"/>
      <c r="W349" s="72"/>
      <c r="X349" s="72"/>
    </row>
    <row r="350" spans="4:24" ht="15.75" customHeight="1"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9"/>
      <c r="P350" s="70"/>
      <c r="Q350" s="70"/>
      <c r="R350" s="71"/>
      <c r="S350" s="72"/>
      <c r="U350" s="72"/>
      <c r="V350" s="72"/>
      <c r="W350" s="72"/>
      <c r="X350" s="72"/>
    </row>
    <row r="351" spans="4:24" ht="15.75" customHeight="1"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9"/>
      <c r="P351" s="70"/>
      <c r="Q351" s="70"/>
      <c r="R351" s="71"/>
      <c r="S351" s="72"/>
      <c r="U351" s="72"/>
      <c r="V351" s="72"/>
      <c r="W351" s="72"/>
      <c r="X351" s="72"/>
    </row>
    <row r="352" spans="4:24" ht="15.75" customHeight="1"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9"/>
      <c r="P352" s="70"/>
      <c r="Q352" s="70"/>
      <c r="R352" s="71"/>
      <c r="S352" s="72"/>
      <c r="U352" s="72"/>
      <c r="V352" s="72"/>
      <c r="W352" s="72"/>
      <c r="X352" s="72"/>
    </row>
    <row r="353" spans="4:24" ht="15.75" customHeight="1"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9"/>
      <c r="P353" s="70"/>
      <c r="Q353" s="70"/>
      <c r="R353" s="71"/>
      <c r="S353" s="72"/>
      <c r="U353" s="72"/>
      <c r="V353" s="72"/>
      <c r="W353" s="72"/>
      <c r="X353" s="72"/>
    </row>
    <row r="354" spans="4:24" ht="15.75" customHeight="1"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9"/>
      <c r="P354" s="70"/>
      <c r="Q354" s="70"/>
      <c r="R354" s="71"/>
      <c r="S354" s="72"/>
      <c r="U354" s="72"/>
      <c r="V354" s="72"/>
      <c r="W354" s="72"/>
      <c r="X354" s="72"/>
    </row>
    <row r="355" spans="4:24" ht="15.75" customHeight="1"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9"/>
      <c r="P355" s="70"/>
      <c r="Q355" s="70"/>
      <c r="R355" s="71"/>
      <c r="S355" s="72"/>
      <c r="U355" s="72"/>
      <c r="V355" s="72"/>
      <c r="W355" s="72"/>
      <c r="X355" s="72"/>
    </row>
    <row r="356" spans="4:24" ht="15.75" customHeight="1"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9"/>
      <c r="P356" s="70"/>
      <c r="Q356" s="70"/>
      <c r="R356" s="71"/>
      <c r="S356" s="72"/>
      <c r="U356" s="72"/>
      <c r="V356" s="72"/>
      <c r="W356" s="72"/>
      <c r="X356" s="72"/>
    </row>
    <row r="357" spans="4:24" ht="15.75" customHeight="1"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9"/>
      <c r="P357" s="70"/>
      <c r="Q357" s="70"/>
      <c r="R357" s="71"/>
      <c r="S357" s="72"/>
      <c r="U357" s="72"/>
      <c r="V357" s="72"/>
      <c r="W357" s="72"/>
      <c r="X357" s="72"/>
    </row>
    <row r="358" spans="4:24" ht="15.75" customHeight="1"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9"/>
      <c r="P358" s="70"/>
      <c r="Q358" s="70"/>
      <c r="R358" s="71"/>
      <c r="S358" s="72"/>
      <c r="U358" s="72"/>
      <c r="V358" s="72"/>
      <c r="W358" s="72"/>
      <c r="X358" s="72"/>
    </row>
    <row r="359" spans="4:24" ht="15.75" customHeight="1"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9"/>
      <c r="P359" s="70"/>
      <c r="Q359" s="70"/>
      <c r="R359" s="71"/>
      <c r="S359" s="72"/>
      <c r="U359" s="72"/>
      <c r="V359" s="72"/>
      <c r="W359" s="72"/>
      <c r="X359" s="72"/>
    </row>
    <row r="360" spans="4:24" ht="15.75" customHeight="1"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9"/>
      <c r="P360" s="70"/>
      <c r="Q360" s="70"/>
      <c r="R360" s="71"/>
      <c r="S360" s="72"/>
      <c r="U360" s="72"/>
      <c r="V360" s="72"/>
      <c r="W360" s="72"/>
      <c r="X360" s="72"/>
    </row>
    <row r="361" spans="4:24" ht="15.75" customHeight="1"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9"/>
      <c r="P361" s="70"/>
      <c r="Q361" s="70"/>
      <c r="R361" s="71"/>
      <c r="S361" s="72"/>
      <c r="U361" s="72"/>
      <c r="V361" s="72"/>
      <c r="W361" s="72"/>
      <c r="X361" s="72"/>
    </row>
    <row r="362" spans="4:24" ht="15.75" customHeight="1"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9"/>
      <c r="P362" s="70"/>
      <c r="Q362" s="70"/>
      <c r="R362" s="71"/>
      <c r="S362" s="72"/>
      <c r="U362" s="72"/>
      <c r="V362" s="72"/>
      <c r="W362" s="72"/>
      <c r="X362" s="72"/>
    </row>
    <row r="363" spans="4:24" ht="15.75" customHeight="1"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9"/>
      <c r="P363" s="70"/>
      <c r="Q363" s="70"/>
      <c r="R363" s="71"/>
      <c r="S363" s="72"/>
      <c r="U363" s="72"/>
      <c r="V363" s="72"/>
      <c r="W363" s="72"/>
      <c r="X363" s="72"/>
    </row>
    <row r="364" spans="4:24" ht="15.75" customHeight="1"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9"/>
      <c r="P364" s="70"/>
      <c r="Q364" s="70"/>
      <c r="R364" s="71"/>
      <c r="S364" s="72"/>
      <c r="U364" s="72"/>
      <c r="V364" s="72"/>
      <c r="W364" s="72"/>
      <c r="X364" s="72"/>
    </row>
    <row r="365" spans="4:24" ht="15.75" customHeight="1"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9"/>
      <c r="P365" s="70"/>
      <c r="Q365" s="70"/>
      <c r="R365" s="71"/>
      <c r="S365" s="72"/>
      <c r="U365" s="72"/>
      <c r="V365" s="72"/>
      <c r="W365" s="72"/>
      <c r="X365" s="72"/>
    </row>
    <row r="366" spans="4:24" ht="15.75" customHeight="1"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9"/>
      <c r="P366" s="70"/>
      <c r="Q366" s="70"/>
      <c r="R366" s="71"/>
      <c r="S366" s="72"/>
      <c r="U366" s="72"/>
      <c r="V366" s="72"/>
      <c r="W366" s="72"/>
      <c r="X366" s="72"/>
    </row>
    <row r="367" spans="4:24" ht="15.75" customHeight="1"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9"/>
      <c r="P367" s="70"/>
      <c r="Q367" s="70"/>
      <c r="R367" s="71"/>
      <c r="S367" s="72"/>
      <c r="U367" s="72"/>
      <c r="V367" s="72"/>
      <c r="W367" s="72"/>
      <c r="X367" s="72"/>
    </row>
    <row r="368" spans="4:24" ht="15.75" customHeight="1"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9"/>
      <c r="P368" s="70"/>
      <c r="Q368" s="70"/>
      <c r="R368" s="71"/>
      <c r="S368" s="72"/>
      <c r="U368" s="72"/>
      <c r="V368" s="72"/>
      <c r="W368" s="72"/>
      <c r="X368" s="72"/>
    </row>
    <row r="369" spans="4:24" ht="15.75" customHeight="1"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9"/>
      <c r="P369" s="70"/>
      <c r="Q369" s="70"/>
      <c r="R369" s="71"/>
      <c r="S369" s="72"/>
      <c r="U369" s="72"/>
      <c r="V369" s="72"/>
      <c r="W369" s="72"/>
      <c r="X369" s="72"/>
    </row>
    <row r="370" spans="4:24" ht="15.75" customHeight="1"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9"/>
      <c r="P370" s="70"/>
      <c r="Q370" s="70"/>
      <c r="R370" s="71"/>
      <c r="S370" s="72"/>
      <c r="U370" s="72"/>
      <c r="V370" s="72"/>
      <c r="W370" s="72"/>
      <c r="X370" s="72"/>
    </row>
    <row r="371" spans="4:24" ht="15.75" customHeight="1"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9"/>
      <c r="P371" s="70"/>
      <c r="Q371" s="70"/>
      <c r="R371" s="71"/>
      <c r="S371" s="72"/>
      <c r="U371" s="72"/>
      <c r="V371" s="72"/>
      <c r="W371" s="72"/>
      <c r="X371" s="72"/>
    </row>
    <row r="372" spans="4:24" ht="15.75" customHeight="1"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9"/>
      <c r="P372" s="70"/>
      <c r="Q372" s="70"/>
      <c r="R372" s="71"/>
      <c r="S372" s="72"/>
      <c r="U372" s="72"/>
      <c r="V372" s="72"/>
      <c r="W372" s="72"/>
      <c r="X372" s="72"/>
    </row>
    <row r="373" spans="4:24" ht="15.75" customHeight="1"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9"/>
      <c r="P373" s="70"/>
      <c r="Q373" s="70"/>
      <c r="R373" s="71"/>
      <c r="S373" s="72"/>
      <c r="U373" s="72"/>
      <c r="V373" s="72"/>
      <c r="W373" s="72"/>
      <c r="X373" s="72"/>
    </row>
    <row r="374" spans="4:24" ht="15.75" customHeight="1"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9"/>
      <c r="P374" s="70"/>
      <c r="Q374" s="70"/>
      <c r="R374" s="71"/>
      <c r="S374" s="72"/>
      <c r="U374" s="72"/>
      <c r="V374" s="72"/>
      <c r="W374" s="72"/>
      <c r="X374" s="72"/>
    </row>
    <row r="375" spans="4:24" ht="15.75" customHeight="1"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9"/>
      <c r="P375" s="70"/>
      <c r="Q375" s="70"/>
      <c r="R375" s="71"/>
      <c r="S375" s="72"/>
      <c r="U375" s="72"/>
      <c r="V375" s="72"/>
      <c r="W375" s="72"/>
      <c r="X375" s="72"/>
    </row>
    <row r="376" spans="4:24" ht="15.75" customHeight="1"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9"/>
      <c r="P376" s="70"/>
      <c r="Q376" s="70"/>
      <c r="R376" s="71"/>
      <c r="S376" s="72"/>
      <c r="U376" s="72"/>
      <c r="V376" s="72"/>
      <c r="W376" s="72"/>
      <c r="X376" s="72"/>
    </row>
    <row r="377" spans="4:24" ht="15.75" customHeight="1"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9"/>
      <c r="P377" s="70"/>
      <c r="Q377" s="70"/>
      <c r="R377" s="71"/>
      <c r="S377" s="72"/>
      <c r="U377" s="72"/>
      <c r="V377" s="72"/>
      <c r="W377" s="72"/>
      <c r="X377" s="72"/>
    </row>
    <row r="378" spans="4:24" ht="15.75" customHeight="1"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9"/>
      <c r="P378" s="70"/>
      <c r="Q378" s="70"/>
      <c r="R378" s="71"/>
      <c r="S378" s="72"/>
      <c r="U378" s="72"/>
      <c r="V378" s="72"/>
      <c r="W378" s="72"/>
      <c r="X378" s="72"/>
    </row>
    <row r="379" spans="4:24" ht="15.75" customHeight="1"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9"/>
      <c r="P379" s="70"/>
      <c r="Q379" s="70"/>
      <c r="R379" s="71"/>
      <c r="S379" s="72"/>
      <c r="U379" s="72"/>
      <c r="V379" s="72"/>
      <c r="W379" s="72"/>
      <c r="X379" s="72"/>
    </row>
    <row r="380" spans="4:24" ht="15.75" customHeight="1"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9"/>
      <c r="P380" s="70"/>
      <c r="Q380" s="70"/>
      <c r="R380" s="71"/>
      <c r="S380" s="72"/>
      <c r="U380" s="72"/>
      <c r="V380" s="72"/>
      <c r="W380" s="72"/>
      <c r="X380" s="72"/>
    </row>
    <row r="381" spans="4:24" ht="15.75" customHeight="1"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9"/>
      <c r="P381" s="70"/>
      <c r="Q381" s="70"/>
      <c r="R381" s="71"/>
      <c r="S381" s="72"/>
      <c r="U381" s="72"/>
      <c r="V381" s="72"/>
      <c r="W381" s="72"/>
      <c r="X381" s="72"/>
    </row>
    <row r="382" spans="4:24" ht="15.75" customHeight="1"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9"/>
      <c r="P382" s="70"/>
      <c r="Q382" s="70"/>
      <c r="R382" s="71"/>
      <c r="S382" s="72"/>
      <c r="U382" s="72"/>
      <c r="V382" s="72"/>
      <c r="W382" s="72"/>
      <c r="X382" s="72"/>
    </row>
    <row r="383" spans="4:24" ht="15.75" customHeight="1"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9"/>
      <c r="P383" s="70"/>
      <c r="Q383" s="70"/>
      <c r="R383" s="71"/>
      <c r="S383" s="72"/>
      <c r="U383" s="72"/>
      <c r="V383" s="72"/>
      <c r="W383" s="72"/>
      <c r="X383" s="72"/>
    </row>
    <row r="384" spans="4:24" ht="15.75" customHeight="1"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9"/>
      <c r="P384" s="70"/>
      <c r="Q384" s="70"/>
      <c r="R384" s="71"/>
      <c r="S384" s="72"/>
      <c r="U384" s="72"/>
      <c r="V384" s="72"/>
      <c r="W384" s="72"/>
      <c r="X384" s="72"/>
    </row>
    <row r="385" spans="4:24" ht="15.75" customHeight="1"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9"/>
      <c r="P385" s="70"/>
      <c r="Q385" s="70"/>
      <c r="R385" s="71"/>
      <c r="S385" s="72"/>
      <c r="U385" s="72"/>
      <c r="V385" s="72"/>
      <c r="W385" s="72"/>
      <c r="X385" s="72"/>
    </row>
    <row r="386" spans="4:24" ht="15.75" customHeight="1"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9"/>
      <c r="P386" s="70"/>
      <c r="Q386" s="70"/>
      <c r="R386" s="71"/>
      <c r="S386" s="72"/>
      <c r="U386" s="72"/>
      <c r="V386" s="72"/>
      <c r="W386" s="72"/>
      <c r="X386" s="72"/>
    </row>
    <row r="387" spans="4:24" ht="15.75" customHeight="1"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9"/>
      <c r="P387" s="70"/>
      <c r="Q387" s="70"/>
      <c r="R387" s="71"/>
      <c r="S387" s="72"/>
      <c r="U387" s="72"/>
      <c r="V387" s="72"/>
      <c r="W387" s="72"/>
      <c r="X387" s="72"/>
    </row>
    <row r="388" spans="4:24" ht="15.75" customHeight="1"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9"/>
      <c r="P388" s="70"/>
      <c r="Q388" s="70"/>
      <c r="R388" s="71"/>
      <c r="S388" s="72"/>
      <c r="U388" s="72"/>
      <c r="V388" s="72"/>
      <c r="W388" s="72"/>
      <c r="X388" s="72"/>
    </row>
    <row r="389" spans="4:24" ht="15.75" customHeight="1"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9"/>
      <c r="P389" s="70"/>
      <c r="Q389" s="70"/>
      <c r="R389" s="71"/>
      <c r="S389" s="72"/>
      <c r="U389" s="72"/>
      <c r="V389" s="72"/>
      <c r="W389" s="72"/>
      <c r="X389" s="72"/>
    </row>
    <row r="390" spans="4:24" ht="15.75" customHeight="1"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9"/>
      <c r="P390" s="70"/>
      <c r="Q390" s="70"/>
      <c r="R390" s="71"/>
      <c r="S390" s="72"/>
      <c r="U390" s="72"/>
      <c r="V390" s="72"/>
      <c r="W390" s="72"/>
      <c r="X390" s="72"/>
    </row>
    <row r="391" spans="4:24" ht="15.75" customHeight="1"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9"/>
      <c r="P391" s="70"/>
      <c r="Q391" s="70"/>
      <c r="R391" s="71"/>
      <c r="S391" s="72"/>
      <c r="U391" s="72"/>
      <c r="V391" s="72"/>
      <c r="W391" s="72"/>
      <c r="X391" s="72"/>
    </row>
    <row r="392" spans="4:24" ht="15.75" customHeight="1"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9"/>
      <c r="P392" s="70"/>
      <c r="Q392" s="70"/>
      <c r="R392" s="71"/>
      <c r="S392" s="72"/>
      <c r="U392" s="72"/>
      <c r="V392" s="72"/>
      <c r="W392" s="72"/>
      <c r="X392" s="72"/>
    </row>
    <row r="393" spans="4:24" ht="15.75" customHeight="1"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9"/>
      <c r="P393" s="70"/>
      <c r="Q393" s="70"/>
      <c r="R393" s="71"/>
      <c r="S393" s="72"/>
      <c r="U393" s="72"/>
      <c r="V393" s="72"/>
      <c r="W393" s="72"/>
      <c r="X393" s="72"/>
    </row>
    <row r="394" spans="4:24" ht="15.75" customHeight="1"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9"/>
      <c r="P394" s="70"/>
      <c r="Q394" s="70"/>
      <c r="R394" s="71"/>
      <c r="S394" s="72"/>
      <c r="U394" s="72"/>
      <c r="V394" s="72"/>
      <c r="W394" s="72"/>
      <c r="X394" s="72"/>
    </row>
    <row r="395" spans="4:24" ht="15.75" customHeight="1"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9"/>
      <c r="P395" s="70"/>
      <c r="Q395" s="70"/>
      <c r="R395" s="71"/>
      <c r="S395" s="72"/>
      <c r="U395" s="72"/>
      <c r="V395" s="72"/>
      <c r="W395" s="72"/>
      <c r="X395" s="72"/>
    </row>
    <row r="396" spans="4:24" ht="15.75" customHeight="1"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9"/>
      <c r="P396" s="70"/>
      <c r="Q396" s="70"/>
      <c r="R396" s="71"/>
      <c r="S396" s="72"/>
      <c r="U396" s="72"/>
      <c r="V396" s="72"/>
      <c r="W396" s="72"/>
      <c r="X396" s="72"/>
    </row>
    <row r="397" spans="4:24" ht="15.75" customHeight="1"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9"/>
      <c r="P397" s="70"/>
      <c r="Q397" s="70"/>
      <c r="R397" s="71"/>
      <c r="S397" s="72"/>
      <c r="U397" s="72"/>
      <c r="V397" s="72"/>
      <c r="W397" s="72"/>
      <c r="X397" s="72"/>
    </row>
    <row r="398" spans="4:24" ht="15.75" customHeight="1"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9"/>
      <c r="P398" s="70"/>
      <c r="Q398" s="70"/>
      <c r="R398" s="71"/>
      <c r="S398" s="72"/>
      <c r="U398" s="72"/>
      <c r="V398" s="72"/>
      <c r="W398" s="72"/>
      <c r="X398" s="72"/>
    </row>
    <row r="399" spans="4:24" ht="15.75" customHeight="1"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9"/>
      <c r="P399" s="70"/>
      <c r="Q399" s="70"/>
      <c r="R399" s="71"/>
      <c r="S399" s="72"/>
      <c r="U399" s="72"/>
      <c r="V399" s="72"/>
      <c r="W399" s="72"/>
      <c r="X399" s="72"/>
    </row>
    <row r="400" spans="4:24" ht="15.75" customHeight="1"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9"/>
      <c r="P400" s="70"/>
      <c r="Q400" s="70"/>
      <c r="R400" s="71"/>
      <c r="S400" s="72"/>
      <c r="U400" s="72"/>
      <c r="V400" s="72"/>
      <c r="W400" s="72"/>
      <c r="X400" s="72"/>
    </row>
    <row r="401" spans="4:24" ht="15.75" customHeight="1"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9"/>
      <c r="P401" s="70"/>
      <c r="Q401" s="70"/>
      <c r="R401" s="71"/>
      <c r="S401" s="72"/>
      <c r="U401" s="72"/>
      <c r="V401" s="72"/>
      <c r="W401" s="72"/>
      <c r="X401" s="72"/>
    </row>
    <row r="402" spans="4:24" ht="15.75" customHeight="1"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9"/>
      <c r="P402" s="70"/>
      <c r="Q402" s="70"/>
      <c r="R402" s="71"/>
      <c r="S402" s="72"/>
      <c r="U402" s="72"/>
      <c r="V402" s="72"/>
      <c r="W402" s="72"/>
      <c r="X402" s="72"/>
    </row>
    <row r="403" spans="4:24" ht="15.75" customHeight="1"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9"/>
      <c r="P403" s="70"/>
      <c r="Q403" s="70"/>
      <c r="R403" s="71"/>
      <c r="S403" s="72"/>
      <c r="U403" s="72"/>
      <c r="V403" s="72"/>
      <c r="W403" s="72"/>
      <c r="X403" s="72"/>
    </row>
    <row r="404" spans="4:24" ht="15.75" customHeight="1"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9"/>
      <c r="P404" s="70"/>
      <c r="Q404" s="70"/>
      <c r="R404" s="71"/>
      <c r="S404" s="72"/>
      <c r="U404" s="72"/>
      <c r="V404" s="72"/>
      <c r="W404" s="72"/>
      <c r="X404" s="72"/>
    </row>
    <row r="405" spans="4:24" ht="15.75" customHeight="1"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9"/>
      <c r="P405" s="70"/>
      <c r="Q405" s="70"/>
      <c r="R405" s="71"/>
      <c r="S405" s="72"/>
      <c r="U405" s="72"/>
      <c r="V405" s="72"/>
      <c r="W405" s="72"/>
      <c r="X405" s="72"/>
    </row>
    <row r="406" spans="4:24" ht="15.75" customHeight="1"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9"/>
      <c r="P406" s="70"/>
      <c r="Q406" s="70"/>
      <c r="R406" s="71"/>
      <c r="S406" s="72"/>
      <c r="U406" s="72"/>
      <c r="V406" s="72"/>
      <c r="W406" s="72"/>
      <c r="X406" s="72"/>
    </row>
    <row r="407" spans="4:24" ht="15.75" customHeight="1"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9"/>
      <c r="P407" s="70"/>
      <c r="Q407" s="70"/>
      <c r="R407" s="71"/>
      <c r="S407" s="72"/>
      <c r="U407" s="72"/>
      <c r="V407" s="72"/>
      <c r="W407" s="72"/>
      <c r="X407" s="72"/>
    </row>
    <row r="408" spans="4:24" ht="15.75" customHeight="1"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9"/>
      <c r="P408" s="70"/>
      <c r="Q408" s="70"/>
      <c r="R408" s="71"/>
      <c r="S408" s="72"/>
      <c r="U408" s="72"/>
      <c r="V408" s="72"/>
      <c r="W408" s="72"/>
      <c r="X408" s="72"/>
    </row>
    <row r="409" spans="4:24" ht="15.75" customHeight="1"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9"/>
      <c r="P409" s="70"/>
      <c r="Q409" s="70"/>
      <c r="R409" s="71"/>
      <c r="S409" s="72"/>
      <c r="U409" s="72"/>
      <c r="V409" s="72"/>
      <c r="W409" s="72"/>
      <c r="X409" s="72"/>
    </row>
    <row r="410" spans="4:24" ht="15.75" customHeight="1"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9"/>
      <c r="P410" s="70"/>
      <c r="Q410" s="70"/>
      <c r="R410" s="71"/>
      <c r="S410" s="72"/>
      <c r="U410" s="72"/>
      <c r="V410" s="72"/>
      <c r="W410" s="72"/>
      <c r="X410" s="72"/>
    </row>
    <row r="411" spans="4:24" ht="15.75" customHeight="1"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9"/>
      <c r="P411" s="70"/>
      <c r="Q411" s="70"/>
      <c r="R411" s="71"/>
      <c r="S411" s="72"/>
      <c r="U411" s="72"/>
      <c r="V411" s="72"/>
      <c r="W411" s="72"/>
      <c r="X411" s="72"/>
    </row>
    <row r="412" spans="4:24" ht="15.75" customHeight="1"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9"/>
      <c r="P412" s="70"/>
      <c r="Q412" s="70"/>
      <c r="R412" s="71"/>
      <c r="S412" s="72"/>
      <c r="U412" s="72"/>
      <c r="V412" s="72"/>
      <c r="W412" s="72"/>
      <c r="X412" s="72"/>
    </row>
    <row r="413" spans="4:24" ht="15.75" customHeight="1"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9"/>
      <c r="P413" s="70"/>
      <c r="Q413" s="70"/>
      <c r="R413" s="71"/>
      <c r="S413" s="72"/>
      <c r="U413" s="72"/>
      <c r="V413" s="72"/>
      <c r="W413" s="72"/>
      <c r="X413" s="72"/>
    </row>
    <row r="414" spans="4:24" ht="15.75" customHeight="1"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9"/>
      <c r="P414" s="70"/>
      <c r="Q414" s="70"/>
      <c r="R414" s="71"/>
      <c r="S414" s="72"/>
      <c r="U414" s="72"/>
      <c r="V414" s="72"/>
      <c r="W414" s="72"/>
      <c r="X414" s="72"/>
    </row>
    <row r="415" spans="4:24" ht="15.75" customHeight="1"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9"/>
      <c r="P415" s="70"/>
      <c r="Q415" s="70"/>
      <c r="R415" s="71"/>
      <c r="S415" s="72"/>
      <c r="U415" s="72"/>
      <c r="V415" s="72"/>
      <c r="W415" s="72"/>
      <c r="X415" s="72"/>
    </row>
    <row r="416" spans="4:24" ht="15.75" customHeight="1"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9"/>
      <c r="P416" s="70"/>
      <c r="Q416" s="70"/>
      <c r="R416" s="71"/>
      <c r="S416" s="72"/>
      <c r="U416" s="72"/>
      <c r="V416" s="72"/>
      <c r="W416" s="72"/>
      <c r="X416" s="72"/>
    </row>
    <row r="417" spans="4:24" ht="15.75" customHeight="1"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9"/>
      <c r="P417" s="70"/>
      <c r="Q417" s="70"/>
      <c r="R417" s="71"/>
      <c r="S417" s="72"/>
      <c r="U417" s="72"/>
      <c r="V417" s="72"/>
      <c r="W417" s="72"/>
      <c r="X417" s="72"/>
    </row>
    <row r="418" spans="4:24" ht="15.75" customHeight="1"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9"/>
      <c r="P418" s="70"/>
      <c r="Q418" s="70"/>
      <c r="R418" s="71"/>
      <c r="S418" s="72"/>
      <c r="U418" s="72"/>
      <c r="V418" s="72"/>
      <c r="W418" s="72"/>
      <c r="X418" s="72"/>
    </row>
    <row r="419" spans="4:24" ht="15.75" customHeight="1"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9"/>
      <c r="P419" s="70"/>
      <c r="Q419" s="70"/>
      <c r="R419" s="71"/>
      <c r="S419" s="72"/>
      <c r="U419" s="72"/>
      <c r="V419" s="72"/>
      <c r="W419" s="72"/>
      <c r="X419" s="72"/>
    </row>
    <row r="420" spans="4:24" ht="15.75" customHeight="1"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9"/>
      <c r="P420" s="70"/>
      <c r="Q420" s="70"/>
      <c r="R420" s="71"/>
      <c r="S420" s="72"/>
      <c r="U420" s="72"/>
      <c r="V420" s="72"/>
      <c r="W420" s="72"/>
      <c r="X420" s="72"/>
    </row>
    <row r="421" spans="4:24" ht="15.75" customHeight="1"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9"/>
      <c r="P421" s="70"/>
      <c r="Q421" s="70"/>
      <c r="R421" s="71"/>
      <c r="S421" s="72"/>
      <c r="U421" s="72"/>
      <c r="V421" s="72"/>
      <c r="W421" s="72"/>
      <c r="X421" s="72"/>
    </row>
    <row r="422" spans="4:24" ht="15.75" customHeight="1"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9"/>
      <c r="P422" s="70"/>
      <c r="Q422" s="70"/>
      <c r="R422" s="71"/>
      <c r="S422" s="72"/>
      <c r="U422" s="72"/>
      <c r="V422" s="72"/>
      <c r="W422" s="72"/>
      <c r="X422" s="72"/>
    </row>
    <row r="423" spans="4:24" ht="15.75" customHeight="1"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9"/>
      <c r="P423" s="70"/>
      <c r="Q423" s="70"/>
      <c r="R423" s="71"/>
      <c r="S423" s="72"/>
      <c r="U423" s="72"/>
      <c r="V423" s="72"/>
      <c r="W423" s="72"/>
      <c r="X423" s="72"/>
    </row>
    <row r="424" spans="4:24" ht="15.75" customHeight="1"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9"/>
      <c r="P424" s="70"/>
      <c r="Q424" s="70"/>
      <c r="R424" s="71"/>
      <c r="S424" s="72"/>
      <c r="U424" s="72"/>
      <c r="V424" s="72"/>
      <c r="W424" s="72"/>
      <c r="X424" s="72"/>
    </row>
    <row r="425" spans="4:24" ht="15.75" customHeight="1"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9"/>
      <c r="P425" s="70"/>
      <c r="Q425" s="70"/>
      <c r="R425" s="71"/>
      <c r="S425" s="72"/>
      <c r="U425" s="72"/>
      <c r="V425" s="72"/>
      <c r="W425" s="72"/>
      <c r="X425" s="72"/>
    </row>
    <row r="426" spans="4:24" ht="15.75" customHeight="1"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9"/>
      <c r="P426" s="70"/>
      <c r="Q426" s="70"/>
      <c r="R426" s="71"/>
      <c r="S426" s="72"/>
      <c r="U426" s="72"/>
      <c r="V426" s="72"/>
      <c r="W426" s="72"/>
      <c r="X426" s="72"/>
    </row>
    <row r="427" spans="4:24" ht="15.75" customHeight="1"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9"/>
      <c r="P427" s="70"/>
      <c r="Q427" s="70"/>
      <c r="R427" s="71"/>
      <c r="S427" s="72"/>
      <c r="U427" s="72"/>
      <c r="V427" s="72"/>
      <c r="W427" s="72"/>
      <c r="X427" s="72"/>
    </row>
    <row r="428" spans="4:24" ht="15.75" customHeight="1"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9"/>
      <c r="P428" s="70"/>
      <c r="Q428" s="70"/>
      <c r="R428" s="71"/>
      <c r="S428" s="72"/>
      <c r="U428" s="72"/>
      <c r="V428" s="72"/>
      <c r="W428" s="72"/>
      <c r="X428" s="72"/>
    </row>
    <row r="429" spans="4:24" ht="15.75" customHeight="1"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9"/>
      <c r="P429" s="70"/>
      <c r="Q429" s="70"/>
      <c r="R429" s="71"/>
      <c r="S429" s="72"/>
      <c r="U429" s="72"/>
      <c r="V429" s="72"/>
      <c r="W429" s="72"/>
      <c r="X429" s="72"/>
    </row>
    <row r="430" spans="4:24" ht="15.75" customHeight="1"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9"/>
      <c r="P430" s="70"/>
      <c r="Q430" s="70"/>
      <c r="R430" s="71"/>
      <c r="S430" s="72"/>
      <c r="U430" s="72"/>
      <c r="V430" s="72"/>
      <c r="W430" s="72"/>
      <c r="X430" s="72"/>
    </row>
    <row r="431" spans="4:24" ht="15.75" customHeight="1"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9"/>
      <c r="P431" s="70"/>
      <c r="Q431" s="70"/>
      <c r="R431" s="71"/>
      <c r="S431" s="72"/>
      <c r="U431" s="72"/>
      <c r="V431" s="72"/>
      <c r="W431" s="72"/>
      <c r="X431" s="72"/>
    </row>
    <row r="432" spans="4:24" ht="15.75" customHeight="1"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9"/>
      <c r="P432" s="70"/>
      <c r="Q432" s="70"/>
      <c r="R432" s="71"/>
      <c r="S432" s="72"/>
      <c r="U432" s="72"/>
      <c r="V432" s="72"/>
      <c r="W432" s="72"/>
      <c r="X432" s="72"/>
    </row>
    <row r="433" spans="4:24" ht="15.75" customHeight="1"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9"/>
      <c r="P433" s="70"/>
      <c r="Q433" s="70"/>
      <c r="R433" s="71"/>
      <c r="S433" s="72"/>
      <c r="U433" s="72"/>
      <c r="V433" s="72"/>
      <c r="W433" s="72"/>
      <c r="X433" s="72"/>
    </row>
    <row r="434" spans="4:24" ht="15.75" customHeight="1"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9"/>
      <c r="P434" s="70"/>
      <c r="Q434" s="70"/>
      <c r="R434" s="71"/>
      <c r="S434" s="72"/>
      <c r="U434" s="72"/>
      <c r="V434" s="72"/>
      <c r="W434" s="72"/>
      <c r="X434" s="72"/>
    </row>
    <row r="435" spans="4:24" ht="15.75" customHeight="1"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9"/>
      <c r="P435" s="70"/>
      <c r="Q435" s="70"/>
      <c r="R435" s="71"/>
      <c r="S435" s="72"/>
      <c r="U435" s="72"/>
      <c r="V435" s="72"/>
      <c r="W435" s="72"/>
      <c r="X435" s="72"/>
    </row>
    <row r="436" spans="4:24" ht="15.75" customHeight="1"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9"/>
      <c r="P436" s="70"/>
      <c r="Q436" s="70"/>
      <c r="R436" s="71"/>
      <c r="S436" s="72"/>
      <c r="U436" s="72"/>
      <c r="V436" s="72"/>
      <c r="W436" s="72"/>
      <c r="X436" s="72"/>
    </row>
    <row r="437" spans="4:24" ht="15.75" customHeight="1"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9"/>
      <c r="P437" s="70"/>
      <c r="Q437" s="70"/>
      <c r="R437" s="71"/>
      <c r="S437" s="72"/>
      <c r="U437" s="72"/>
      <c r="V437" s="72"/>
      <c r="W437" s="72"/>
      <c r="X437" s="72"/>
    </row>
    <row r="438" spans="4:24" ht="15.75" customHeight="1"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9"/>
      <c r="P438" s="70"/>
      <c r="Q438" s="70"/>
      <c r="R438" s="71"/>
      <c r="S438" s="72"/>
      <c r="U438" s="72"/>
      <c r="V438" s="72"/>
      <c r="W438" s="72"/>
      <c r="X438" s="72"/>
    </row>
    <row r="439" spans="4:24" ht="15.75" customHeight="1"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9"/>
      <c r="P439" s="70"/>
      <c r="Q439" s="70"/>
      <c r="R439" s="71"/>
      <c r="S439" s="72"/>
      <c r="U439" s="72"/>
      <c r="V439" s="72"/>
      <c r="W439" s="72"/>
      <c r="X439" s="72"/>
    </row>
    <row r="440" spans="4:24" ht="15.75" customHeight="1"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9"/>
      <c r="P440" s="70"/>
      <c r="Q440" s="70"/>
      <c r="R440" s="71"/>
      <c r="S440" s="72"/>
      <c r="U440" s="72"/>
      <c r="V440" s="72"/>
      <c r="W440" s="72"/>
      <c r="X440" s="72"/>
    </row>
    <row r="441" spans="4:24" ht="15.75" customHeight="1"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9"/>
      <c r="P441" s="70"/>
      <c r="Q441" s="70"/>
      <c r="R441" s="71"/>
      <c r="S441" s="72"/>
      <c r="U441" s="72"/>
      <c r="V441" s="72"/>
      <c r="W441" s="72"/>
      <c r="X441" s="72"/>
    </row>
    <row r="442" spans="4:24" ht="15.75" customHeight="1"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9"/>
      <c r="P442" s="70"/>
      <c r="Q442" s="70"/>
      <c r="R442" s="71"/>
      <c r="S442" s="72"/>
      <c r="U442" s="72"/>
      <c r="V442" s="72"/>
      <c r="W442" s="72"/>
      <c r="X442" s="72"/>
    </row>
    <row r="443" spans="4:24" ht="15.75" customHeight="1"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9"/>
      <c r="P443" s="70"/>
      <c r="Q443" s="70"/>
      <c r="R443" s="71"/>
      <c r="S443" s="72"/>
      <c r="U443" s="72"/>
      <c r="V443" s="72"/>
      <c r="W443" s="72"/>
      <c r="X443" s="72"/>
    </row>
    <row r="444" spans="4:24" ht="15.75" customHeight="1"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9"/>
      <c r="P444" s="70"/>
      <c r="Q444" s="70"/>
      <c r="R444" s="71"/>
      <c r="S444" s="72"/>
      <c r="U444" s="72"/>
      <c r="V444" s="72"/>
      <c r="W444" s="72"/>
      <c r="X444" s="72"/>
    </row>
    <row r="445" spans="4:24" ht="15.75" customHeight="1"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9"/>
      <c r="P445" s="70"/>
      <c r="Q445" s="70"/>
      <c r="R445" s="71"/>
      <c r="S445" s="72"/>
      <c r="U445" s="72"/>
      <c r="V445" s="72"/>
      <c r="W445" s="72"/>
      <c r="X445" s="72"/>
    </row>
    <row r="446" spans="4:24" ht="15.75" customHeight="1"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9"/>
      <c r="P446" s="70"/>
      <c r="Q446" s="70"/>
      <c r="R446" s="71"/>
      <c r="S446" s="72"/>
      <c r="U446" s="72"/>
      <c r="V446" s="72"/>
      <c r="W446" s="72"/>
      <c r="X446" s="72"/>
    </row>
    <row r="447" spans="4:24" ht="15.75" customHeight="1"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9"/>
      <c r="P447" s="70"/>
      <c r="Q447" s="70"/>
      <c r="R447" s="71"/>
      <c r="S447" s="72"/>
      <c r="U447" s="72"/>
      <c r="V447" s="72"/>
      <c r="W447" s="72"/>
      <c r="X447" s="72"/>
    </row>
    <row r="448" spans="4:24" ht="15.75" customHeight="1"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9"/>
      <c r="P448" s="70"/>
      <c r="Q448" s="70"/>
      <c r="R448" s="71"/>
      <c r="S448" s="72"/>
      <c r="U448" s="72"/>
      <c r="V448" s="72"/>
      <c r="W448" s="72"/>
      <c r="X448" s="72"/>
    </row>
    <row r="449" spans="4:24" ht="15.75" customHeight="1"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9"/>
      <c r="P449" s="70"/>
      <c r="Q449" s="70"/>
      <c r="R449" s="71"/>
      <c r="S449" s="72"/>
      <c r="U449" s="72"/>
      <c r="V449" s="72"/>
      <c r="W449" s="72"/>
      <c r="X449" s="72"/>
    </row>
    <row r="450" spans="4:24" ht="15.75" customHeight="1"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9"/>
      <c r="P450" s="70"/>
      <c r="Q450" s="70"/>
      <c r="R450" s="71"/>
      <c r="S450" s="72"/>
      <c r="U450" s="72"/>
      <c r="V450" s="72"/>
      <c r="W450" s="72"/>
      <c r="X450" s="72"/>
    </row>
    <row r="451" spans="4:24" ht="15.75" customHeight="1"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9"/>
      <c r="P451" s="70"/>
      <c r="Q451" s="70"/>
      <c r="R451" s="71"/>
      <c r="S451" s="72"/>
      <c r="U451" s="72"/>
      <c r="V451" s="72"/>
      <c r="W451" s="72"/>
      <c r="X451" s="72"/>
    </row>
    <row r="452" spans="4:24" ht="15.75" customHeight="1"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9"/>
      <c r="P452" s="70"/>
      <c r="Q452" s="70"/>
      <c r="R452" s="71"/>
      <c r="S452" s="72"/>
      <c r="U452" s="72"/>
      <c r="V452" s="72"/>
      <c r="W452" s="72"/>
      <c r="X452" s="72"/>
    </row>
    <row r="453" spans="4:24" ht="15.75" customHeight="1"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9"/>
      <c r="P453" s="70"/>
      <c r="Q453" s="70"/>
      <c r="R453" s="71"/>
      <c r="S453" s="72"/>
      <c r="U453" s="72"/>
      <c r="V453" s="72"/>
      <c r="W453" s="72"/>
      <c r="X453" s="72"/>
    </row>
    <row r="454" spans="4:24" ht="15.75" customHeight="1"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9"/>
      <c r="P454" s="70"/>
      <c r="Q454" s="70"/>
      <c r="R454" s="71"/>
      <c r="S454" s="72"/>
      <c r="U454" s="72"/>
      <c r="V454" s="72"/>
      <c r="W454" s="72"/>
      <c r="X454" s="72"/>
    </row>
    <row r="455" spans="4:24" ht="15.75" customHeight="1"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9"/>
      <c r="P455" s="70"/>
      <c r="Q455" s="70"/>
      <c r="R455" s="71"/>
      <c r="S455" s="72"/>
      <c r="U455" s="72"/>
      <c r="V455" s="72"/>
      <c r="W455" s="72"/>
      <c r="X455" s="72"/>
    </row>
    <row r="456" spans="4:24" ht="15.75" customHeight="1"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9"/>
      <c r="P456" s="70"/>
      <c r="Q456" s="70"/>
      <c r="R456" s="71"/>
      <c r="S456" s="72"/>
      <c r="U456" s="72"/>
      <c r="V456" s="72"/>
      <c r="W456" s="72"/>
      <c r="X456" s="72"/>
    </row>
    <row r="457" spans="4:24" ht="15.75" customHeight="1"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9"/>
      <c r="P457" s="70"/>
      <c r="Q457" s="70"/>
      <c r="R457" s="71"/>
      <c r="S457" s="72"/>
      <c r="U457" s="72"/>
      <c r="V457" s="72"/>
      <c r="W457" s="72"/>
      <c r="X457" s="72"/>
    </row>
    <row r="458" spans="4:24" ht="15.75" customHeight="1"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9"/>
      <c r="P458" s="70"/>
      <c r="Q458" s="70"/>
      <c r="R458" s="71"/>
      <c r="S458" s="72"/>
      <c r="U458" s="72"/>
      <c r="V458" s="72"/>
      <c r="W458" s="72"/>
      <c r="X458" s="72"/>
    </row>
    <row r="459" spans="4:24" ht="15.75" customHeight="1"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9"/>
      <c r="P459" s="70"/>
      <c r="Q459" s="70"/>
      <c r="R459" s="71"/>
      <c r="S459" s="72"/>
      <c r="U459" s="72"/>
      <c r="V459" s="72"/>
      <c r="W459" s="72"/>
      <c r="X459" s="72"/>
    </row>
    <row r="460" spans="4:24" ht="15.75" customHeight="1"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9"/>
      <c r="P460" s="70"/>
      <c r="Q460" s="70"/>
      <c r="R460" s="71"/>
      <c r="S460" s="72"/>
      <c r="U460" s="72"/>
      <c r="V460" s="72"/>
      <c r="W460" s="72"/>
      <c r="X460" s="72"/>
    </row>
    <row r="461" spans="4:24" ht="15.75" customHeight="1"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9"/>
      <c r="P461" s="70"/>
      <c r="Q461" s="70"/>
      <c r="R461" s="71"/>
      <c r="S461" s="72"/>
      <c r="U461" s="72"/>
      <c r="V461" s="72"/>
      <c r="W461" s="72"/>
      <c r="X461" s="72"/>
    </row>
    <row r="462" spans="4:24" ht="15.75" customHeight="1"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9"/>
      <c r="P462" s="70"/>
      <c r="Q462" s="70"/>
      <c r="R462" s="71"/>
      <c r="S462" s="72"/>
      <c r="U462" s="72"/>
      <c r="V462" s="72"/>
      <c r="W462" s="72"/>
      <c r="X462" s="72"/>
    </row>
    <row r="463" spans="4:24" ht="15.75" customHeight="1"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9"/>
      <c r="P463" s="70"/>
      <c r="Q463" s="70"/>
      <c r="R463" s="71"/>
      <c r="S463" s="72"/>
      <c r="U463" s="72"/>
      <c r="V463" s="72"/>
      <c r="W463" s="72"/>
      <c r="X463" s="72"/>
    </row>
    <row r="464" spans="4:24" ht="15.75" customHeight="1"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9"/>
      <c r="P464" s="70"/>
      <c r="Q464" s="70"/>
      <c r="R464" s="71"/>
      <c r="S464" s="72"/>
      <c r="U464" s="72"/>
      <c r="V464" s="72"/>
      <c r="W464" s="72"/>
      <c r="X464" s="72"/>
    </row>
    <row r="465" spans="4:24" ht="15.75" customHeight="1"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9"/>
      <c r="P465" s="70"/>
      <c r="Q465" s="70"/>
      <c r="R465" s="71"/>
      <c r="S465" s="72"/>
      <c r="U465" s="72"/>
      <c r="V465" s="72"/>
      <c r="W465" s="72"/>
      <c r="X465" s="72"/>
    </row>
    <row r="466" spans="4:24" ht="15.75" customHeight="1"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9"/>
      <c r="P466" s="70"/>
      <c r="Q466" s="70"/>
      <c r="R466" s="71"/>
      <c r="S466" s="72"/>
      <c r="U466" s="72"/>
      <c r="V466" s="72"/>
      <c r="W466" s="72"/>
      <c r="X466" s="72"/>
    </row>
    <row r="467" spans="4:24" ht="15.75" customHeight="1"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9"/>
      <c r="P467" s="70"/>
      <c r="Q467" s="70"/>
      <c r="R467" s="71"/>
      <c r="S467" s="72"/>
      <c r="U467" s="72"/>
      <c r="V467" s="72"/>
      <c r="W467" s="72"/>
      <c r="X467" s="72"/>
    </row>
    <row r="468" spans="4:24" ht="15.75" customHeight="1"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9"/>
      <c r="P468" s="70"/>
      <c r="Q468" s="70"/>
      <c r="R468" s="71"/>
      <c r="S468" s="72"/>
      <c r="U468" s="72"/>
      <c r="V468" s="72"/>
      <c r="W468" s="72"/>
      <c r="X468" s="72"/>
    </row>
    <row r="469" spans="4:24" ht="15.75" customHeight="1"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9"/>
      <c r="P469" s="70"/>
      <c r="Q469" s="70"/>
      <c r="R469" s="71"/>
      <c r="S469" s="72"/>
      <c r="U469" s="72"/>
      <c r="V469" s="72"/>
      <c r="W469" s="72"/>
      <c r="X469" s="72"/>
    </row>
    <row r="470" spans="4:24" ht="15.75" customHeight="1"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9"/>
      <c r="P470" s="70"/>
      <c r="Q470" s="70"/>
      <c r="R470" s="71"/>
      <c r="S470" s="72"/>
      <c r="U470" s="72"/>
      <c r="V470" s="72"/>
      <c r="W470" s="72"/>
      <c r="X470" s="72"/>
    </row>
    <row r="471" spans="4:24" ht="15.75" customHeight="1"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9"/>
      <c r="P471" s="70"/>
      <c r="Q471" s="70"/>
      <c r="R471" s="71"/>
      <c r="S471" s="72"/>
      <c r="U471" s="72"/>
      <c r="V471" s="72"/>
      <c r="W471" s="72"/>
      <c r="X471" s="72"/>
    </row>
    <row r="472" spans="4:24" ht="15.75" customHeight="1"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9"/>
      <c r="P472" s="70"/>
      <c r="Q472" s="70"/>
      <c r="R472" s="71"/>
      <c r="S472" s="72"/>
      <c r="U472" s="72"/>
      <c r="V472" s="72"/>
      <c r="W472" s="72"/>
      <c r="X472" s="72"/>
    </row>
    <row r="473" spans="4:24" ht="15.75" customHeight="1"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9"/>
      <c r="P473" s="70"/>
      <c r="Q473" s="70"/>
      <c r="R473" s="71"/>
      <c r="S473" s="72"/>
      <c r="U473" s="72"/>
      <c r="V473" s="72"/>
      <c r="W473" s="72"/>
      <c r="X473" s="72"/>
    </row>
    <row r="474" spans="4:24" ht="15.75" customHeight="1"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9"/>
      <c r="P474" s="70"/>
      <c r="Q474" s="70"/>
      <c r="R474" s="71"/>
      <c r="S474" s="72"/>
      <c r="U474" s="72"/>
      <c r="V474" s="72"/>
      <c r="W474" s="72"/>
      <c r="X474" s="72"/>
    </row>
    <row r="475" spans="4:24" ht="15.75" customHeight="1"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9"/>
      <c r="P475" s="70"/>
      <c r="Q475" s="70"/>
      <c r="R475" s="71"/>
      <c r="S475" s="72"/>
      <c r="U475" s="72"/>
      <c r="V475" s="72"/>
      <c r="W475" s="72"/>
      <c r="X475" s="72"/>
    </row>
    <row r="476" spans="4:24" ht="15.75" customHeight="1"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9"/>
      <c r="P476" s="70"/>
      <c r="Q476" s="70"/>
      <c r="R476" s="71"/>
      <c r="S476" s="72"/>
      <c r="U476" s="72"/>
      <c r="V476" s="72"/>
      <c r="W476" s="72"/>
      <c r="X476" s="72"/>
    </row>
    <row r="477" spans="4:24" ht="15.75" customHeight="1"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9"/>
      <c r="P477" s="70"/>
      <c r="Q477" s="70"/>
      <c r="R477" s="71"/>
      <c r="S477" s="72"/>
      <c r="U477" s="72"/>
      <c r="V477" s="72"/>
      <c r="W477" s="72"/>
      <c r="X477" s="72"/>
    </row>
    <row r="478" spans="4:24" ht="15.75" customHeight="1"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9"/>
      <c r="P478" s="70"/>
      <c r="Q478" s="70"/>
      <c r="R478" s="71"/>
      <c r="S478" s="72"/>
      <c r="U478" s="72"/>
      <c r="V478" s="72"/>
      <c r="W478" s="72"/>
      <c r="X478" s="72"/>
    </row>
    <row r="479" spans="4:24" ht="15.75" customHeight="1"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9"/>
      <c r="P479" s="70"/>
      <c r="Q479" s="70"/>
      <c r="R479" s="71"/>
      <c r="S479" s="72"/>
      <c r="U479" s="72"/>
      <c r="V479" s="72"/>
      <c r="W479" s="72"/>
      <c r="X479" s="72"/>
    </row>
    <row r="480" spans="4:24" ht="15.75" customHeight="1"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9"/>
      <c r="P480" s="70"/>
      <c r="Q480" s="70"/>
      <c r="R480" s="71"/>
      <c r="S480" s="72"/>
      <c r="U480" s="72"/>
      <c r="V480" s="72"/>
      <c r="W480" s="72"/>
      <c r="X480" s="72"/>
    </row>
    <row r="481" spans="4:24" ht="15.75" customHeight="1"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9"/>
      <c r="P481" s="70"/>
      <c r="Q481" s="70"/>
      <c r="R481" s="71"/>
      <c r="S481" s="72"/>
      <c r="U481" s="72"/>
      <c r="V481" s="72"/>
      <c r="W481" s="72"/>
      <c r="X481" s="72"/>
    </row>
    <row r="482" spans="4:24" ht="15.75" customHeight="1"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9"/>
      <c r="P482" s="70"/>
      <c r="Q482" s="70"/>
      <c r="R482" s="71"/>
      <c r="S482" s="72"/>
      <c r="U482" s="72"/>
      <c r="V482" s="72"/>
      <c r="W482" s="72"/>
      <c r="X482" s="72"/>
    </row>
    <row r="483" spans="4:24" ht="15.75" customHeight="1"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9"/>
      <c r="P483" s="70"/>
      <c r="Q483" s="70"/>
      <c r="R483" s="71"/>
      <c r="S483" s="72"/>
      <c r="U483" s="72"/>
      <c r="V483" s="72"/>
      <c r="W483" s="72"/>
      <c r="X483" s="72"/>
    </row>
    <row r="484" spans="4:24" ht="15.75" customHeight="1"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9"/>
      <c r="P484" s="70"/>
      <c r="Q484" s="70"/>
      <c r="R484" s="71"/>
      <c r="S484" s="72"/>
      <c r="U484" s="72"/>
      <c r="V484" s="72"/>
      <c r="W484" s="72"/>
      <c r="X484" s="72"/>
    </row>
    <row r="485" spans="4:24" ht="15.75" customHeight="1"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9"/>
      <c r="P485" s="70"/>
      <c r="Q485" s="70"/>
      <c r="R485" s="71"/>
      <c r="S485" s="72"/>
      <c r="U485" s="72"/>
      <c r="V485" s="72"/>
      <c r="W485" s="72"/>
      <c r="X485" s="72"/>
    </row>
    <row r="486" spans="4:24" ht="15.75" customHeight="1"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9"/>
      <c r="P486" s="70"/>
      <c r="Q486" s="70"/>
      <c r="R486" s="71"/>
      <c r="S486" s="72"/>
      <c r="U486" s="72"/>
      <c r="V486" s="72"/>
      <c r="W486" s="72"/>
      <c r="X486" s="72"/>
    </row>
    <row r="487" spans="4:24" ht="15.75" customHeight="1"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9"/>
      <c r="P487" s="70"/>
      <c r="Q487" s="70"/>
      <c r="R487" s="71"/>
      <c r="S487" s="72"/>
      <c r="U487" s="72"/>
      <c r="V487" s="72"/>
      <c r="W487" s="72"/>
      <c r="X487" s="72"/>
    </row>
    <row r="488" spans="4:24" ht="15.75" customHeight="1"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9"/>
      <c r="P488" s="70"/>
      <c r="Q488" s="70"/>
      <c r="R488" s="71"/>
      <c r="S488" s="72"/>
      <c r="U488" s="72"/>
      <c r="V488" s="72"/>
      <c r="W488" s="72"/>
      <c r="X488" s="72"/>
    </row>
    <row r="489" spans="4:24" ht="15.75" customHeight="1"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9"/>
      <c r="P489" s="70"/>
      <c r="Q489" s="70"/>
      <c r="R489" s="71"/>
      <c r="S489" s="72"/>
      <c r="U489" s="72"/>
      <c r="V489" s="72"/>
      <c r="W489" s="72"/>
      <c r="X489" s="72"/>
    </row>
    <row r="490" spans="4:24" ht="15.75" customHeight="1"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9"/>
      <c r="P490" s="70"/>
      <c r="Q490" s="70"/>
      <c r="R490" s="71"/>
      <c r="S490" s="72"/>
      <c r="U490" s="72"/>
      <c r="V490" s="72"/>
      <c r="W490" s="72"/>
      <c r="X490" s="72"/>
    </row>
    <row r="491" spans="4:24" ht="15.75" customHeight="1"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9"/>
      <c r="P491" s="70"/>
      <c r="Q491" s="70"/>
      <c r="R491" s="71"/>
      <c r="S491" s="72"/>
      <c r="U491" s="72"/>
      <c r="V491" s="72"/>
      <c r="W491" s="72"/>
      <c r="X491" s="72"/>
    </row>
    <row r="492" spans="4:24" ht="15.75" customHeight="1"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9"/>
      <c r="P492" s="70"/>
      <c r="Q492" s="70"/>
      <c r="R492" s="71"/>
      <c r="S492" s="72"/>
      <c r="U492" s="72"/>
      <c r="V492" s="72"/>
      <c r="W492" s="72"/>
      <c r="X492" s="72"/>
    </row>
    <row r="493" spans="4:24" ht="15.75" customHeight="1"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9"/>
      <c r="P493" s="70"/>
      <c r="Q493" s="70"/>
      <c r="R493" s="71"/>
      <c r="S493" s="72"/>
      <c r="U493" s="72"/>
      <c r="V493" s="72"/>
      <c r="W493" s="72"/>
      <c r="X493" s="72"/>
    </row>
    <row r="494" spans="4:24" ht="15.75" customHeight="1"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9"/>
      <c r="P494" s="70"/>
      <c r="Q494" s="70"/>
      <c r="R494" s="71"/>
      <c r="S494" s="72"/>
      <c r="U494" s="72"/>
      <c r="V494" s="72"/>
      <c r="W494" s="72"/>
      <c r="X494" s="72"/>
    </row>
    <row r="495" spans="4:24" ht="15.75" customHeight="1"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9"/>
      <c r="P495" s="70"/>
      <c r="Q495" s="70"/>
      <c r="R495" s="71"/>
      <c r="S495" s="72"/>
      <c r="U495" s="72"/>
      <c r="V495" s="72"/>
      <c r="W495" s="72"/>
      <c r="X495" s="72"/>
    </row>
    <row r="496" spans="4:24" ht="15.75" customHeight="1"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9"/>
      <c r="P496" s="70"/>
      <c r="Q496" s="70"/>
      <c r="R496" s="71"/>
      <c r="S496" s="72"/>
      <c r="U496" s="72"/>
      <c r="V496" s="72"/>
      <c r="W496" s="72"/>
      <c r="X496" s="72"/>
    </row>
    <row r="497" spans="4:24" ht="15.75" customHeight="1"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9"/>
      <c r="P497" s="70"/>
      <c r="Q497" s="70"/>
      <c r="R497" s="71"/>
      <c r="S497" s="72"/>
      <c r="U497" s="72"/>
      <c r="V497" s="72"/>
      <c r="W497" s="72"/>
      <c r="X497" s="72"/>
    </row>
    <row r="498" spans="4:24" ht="15.75" customHeight="1"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9"/>
      <c r="P498" s="70"/>
      <c r="Q498" s="70"/>
      <c r="R498" s="71"/>
      <c r="S498" s="72"/>
      <c r="U498" s="72"/>
      <c r="V498" s="72"/>
      <c r="W498" s="72"/>
      <c r="X498" s="72"/>
    </row>
    <row r="499" spans="4:24" ht="15.75" customHeight="1"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9"/>
      <c r="P499" s="70"/>
      <c r="Q499" s="70"/>
      <c r="R499" s="71"/>
      <c r="S499" s="72"/>
      <c r="U499" s="72"/>
      <c r="V499" s="72"/>
      <c r="W499" s="72"/>
      <c r="X499" s="72"/>
    </row>
    <row r="500" spans="4:24" ht="15.75" customHeight="1"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9"/>
      <c r="P500" s="70"/>
      <c r="Q500" s="70"/>
      <c r="R500" s="71"/>
      <c r="S500" s="72"/>
      <c r="U500" s="72"/>
      <c r="V500" s="72"/>
      <c r="W500" s="72"/>
      <c r="X500" s="72"/>
    </row>
    <row r="501" spans="4:24" ht="15.75" customHeight="1"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9"/>
      <c r="P501" s="70"/>
      <c r="Q501" s="70"/>
      <c r="R501" s="71"/>
      <c r="S501" s="72"/>
      <c r="U501" s="72"/>
      <c r="V501" s="72"/>
      <c r="W501" s="72"/>
      <c r="X501" s="72"/>
    </row>
    <row r="502" spans="4:24" ht="15.75" customHeight="1"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9"/>
      <c r="P502" s="70"/>
      <c r="Q502" s="70"/>
      <c r="R502" s="71"/>
      <c r="S502" s="72"/>
      <c r="U502" s="72"/>
      <c r="V502" s="72"/>
      <c r="W502" s="72"/>
      <c r="X502" s="72"/>
    </row>
    <row r="503" spans="4:24" ht="15.75" customHeight="1"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9"/>
      <c r="P503" s="70"/>
      <c r="Q503" s="70"/>
      <c r="R503" s="71"/>
      <c r="S503" s="72"/>
      <c r="U503" s="72"/>
      <c r="V503" s="72"/>
      <c r="W503" s="72"/>
      <c r="X503" s="72"/>
    </row>
    <row r="504" spans="4:24" ht="15.75" customHeight="1"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9"/>
      <c r="P504" s="70"/>
      <c r="Q504" s="70"/>
      <c r="R504" s="71"/>
      <c r="S504" s="72"/>
      <c r="U504" s="72"/>
      <c r="V504" s="72"/>
      <c r="W504" s="72"/>
      <c r="X504" s="72"/>
    </row>
    <row r="505" spans="4:24" ht="15.75" customHeight="1"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9"/>
      <c r="P505" s="70"/>
      <c r="Q505" s="70"/>
      <c r="R505" s="71"/>
      <c r="S505" s="72"/>
      <c r="U505" s="72"/>
      <c r="V505" s="72"/>
      <c r="W505" s="72"/>
      <c r="X505" s="72"/>
    </row>
    <row r="506" spans="4:24" ht="15.75" customHeight="1"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9"/>
      <c r="P506" s="70"/>
      <c r="Q506" s="70"/>
      <c r="R506" s="71"/>
      <c r="S506" s="72"/>
      <c r="U506" s="72"/>
      <c r="V506" s="72"/>
      <c r="W506" s="72"/>
      <c r="X506" s="72"/>
    </row>
    <row r="507" spans="4:24" ht="15.75" customHeight="1"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9"/>
      <c r="P507" s="70"/>
      <c r="Q507" s="70"/>
      <c r="R507" s="71"/>
      <c r="S507" s="72"/>
      <c r="U507" s="72"/>
      <c r="V507" s="72"/>
      <c r="W507" s="72"/>
      <c r="X507" s="72"/>
    </row>
    <row r="508" spans="4:24" ht="15.75" customHeight="1"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9"/>
      <c r="P508" s="70"/>
      <c r="Q508" s="70"/>
      <c r="R508" s="71"/>
      <c r="S508" s="72"/>
      <c r="U508" s="72"/>
      <c r="V508" s="72"/>
      <c r="W508" s="72"/>
      <c r="X508" s="72"/>
    </row>
    <row r="509" spans="4:24" ht="15.75" customHeight="1"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9"/>
      <c r="P509" s="70"/>
      <c r="Q509" s="70"/>
      <c r="R509" s="71"/>
      <c r="S509" s="72"/>
      <c r="U509" s="72"/>
      <c r="V509" s="72"/>
      <c r="W509" s="72"/>
      <c r="X509" s="72"/>
    </row>
    <row r="510" spans="4:24" ht="15.75" customHeight="1"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9"/>
      <c r="P510" s="70"/>
      <c r="Q510" s="70"/>
      <c r="R510" s="71"/>
      <c r="S510" s="72"/>
      <c r="U510" s="72"/>
      <c r="V510" s="72"/>
      <c r="W510" s="72"/>
      <c r="X510" s="72"/>
    </row>
    <row r="511" spans="4:24" ht="15.75" customHeight="1"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9"/>
      <c r="P511" s="70"/>
      <c r="Q511" s="70"/>
      <c r="R511" s="71"/>
      <c r="S511" s="72"/>
      <c r="U511" s="72"/>
      <c r="V511" s="72"/>
      <c r="W511" s="72"/>
      <c r="X511" s="72"/>
    </row>
    <row r="512" spans="4:24" ht="15.75" customHeight="1"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9"/>
      <c r="P512" s="70"/>
      <c r="Q512" s="70"/>
      <c r="R512" s="71"/>
      <c r="S512" s="72"/>
      <c r="U512" s="72"/>
      <c r="V512" s="72"/>
      <c r="W512" s="72"/>
      <c r="X512" s="72"/>
    </row>
    <row r="513" spans="4:24" ht="15.75" customHeight="1"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9"/>
      <c r="P513" s="70"/>
      <c r="Q513" s="70"/>
      <c r="R513" s="71"/>
      <c r="S513" s="72"/>
      <c r="U513" s="72"/>
      <c r="V513" s="72"/>
      <c r="W513" s="72"/>
      <c r="X513" s="72"/>
    </row>
    <row r="514" spans="4:24" ht="15.75" customHeight="1"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9"/>
      <c r="P514" s="70"/>
      <c r="Q514" s="70"/>
      <c r="R514" s="71"/>
      <c r="S514" s="72"/>
      <c r="U514" s="72"/>
      <c r="V514" s="72"/>
      <c r="W514" s="72"/>
      <c r="X514" s="72"/>
    </row>
    <row r="515" spans="4:24" ht="15.75" customHeight="1"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9"/>
      <c r="P515" s="70"/>
      <c r="Q515" s="70"/>
      <c r="R515" s="71"/>
      <c r="S515" s="72"/>
      <c r="U515" s="72"/>
      <c r="V515" s="72"/>
      <c r="W515" s="72"/>
      <c r="X515" s="72"/>
    </row>
    <row r="516" spans="4:24" ht="15.75" customHeight="1"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9"/>
      <c r="P516" s="70"/>
      <c r="Q516" s="70"/>
      <c r="R516" s="71"/>
      <c r="S516" s="72"/>
      <c r="U516" s="72"/>
      <c r="V516" s="72"/>
      <c r="W516" s="72"/>
      <c r="X516" s="72"/>
    </row>
    <row r="517" spans="4:24" ht="15.75" customHeight="1"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9"/>
      <c r="P517" s="70"/>
      <c r="Q517" s="70"/>
      <c r="R517" s="71"/>
      <c r="S517" s="72"/>
      <c r="U517" s="72"/>
      <c r="V517" s="72"/>
      <c r="W517" s="72"/>
      <c r="X517" s="72"/>
    </row>
    <row r="518" spans="4:24" ht="15.75" customHeight="1"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9"/>
      <c r="P518" s="70"/>
      <c r="Q518" s="70"/>
      <c r="R518" s="71"/>
      <c r="S518" s="72"/>
      <c r="U518" s="72"/>
      <c r="V518" s="72"/>
      <c r="W518" s="72"/>
      <c r="X518" s="72"/>
    </row>
    <row r="519" spans="4:24" ht="15.75" customHeight="1"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9"/>
      <c r="P519" s="70"/>
      <c r="Q519" s="70"/>
      <c r="R519" s="71"/>
      <c r="S519" s="72"/>
      <c r="U519" s="72"/>
      <c r="V519" s="72"/>
      <c r="W519" s="72"/>
      <c r="X519" s="72"/>
    </row>
    <row r="520" spans="4:24" ht="15.75" customHeight="1"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9"/>
      <c r="P520" s="70"/>
      <c r="Q520" s="70"/>
      <c r="R520" s="71"/>
      <c r="S520" s="72"/>
      <c r="U520" s="72"/>
      <c r="V520" s="72"/>
      <c r="W520" s="72"/>
      <c r="X520" s="72"/>
    </row>
    <row r="521" spans="4:24" ht="15.75" customHeight="1"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9"/>
      <c r="P521" s="70"/>
      <c r="Q521" s="70"/>
      <c r="R521" s="71"/>
      <c r="S521" s="72"/>
      <c r="U521" s="72"/>
      <c r="V521" s="72"/>
      <c r="W521" s="72"/>
      <c r="X521" s="72"/>
    </row>
    <row r="522" spans="4:24" ht="15.75" customHeight="1"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9"/>
      <c r="P522" s="70"/>
      <c r="Q522" s="70"/>
      <c r="R522" s="71"/>
      <c r="S522" s="72"/>
      <c r="U522" s="72"/>
      <c r="V522" s="72"/>
      <c r="W522" s="72"/>
      <c r="X522" s="72"/>
    </row>
    <row r="523" spans="4:24" ht="15.75" customHeight="1"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9"/>
      <c r="P523" s="70"/>
      <c r="Q523" s="70"/>
      <c r="R523" s="71"/>
      <c r="S523" s="72"/>
      <c r="U523" s="72"/>
      <c r="V523" s="72"/>
      <c r="W523" s="72"/>
      <c r="X523" s="72"/>
    </row>
    <row r="524" spans="4:24" ht="15.75" customHeight="1"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9"/>
      <c r="P524" s="70"/>
      <c r="Q524" s="70"/>
      <c r="R524" s="71"/>
      <c r="S524" s="72"/>
      <c r="U524" s="72"/>
      <c r="V524" s="72"/>
      <c r="W524" s="72"/>
      <c r="X524" s="72"/>
    </row>
    <row r="525" spans="4:24" ht="15.75" customHeight="1"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9"/>
      <c r="P525" s="70"/>
      <c r="Q525" s="70"/>
      <c r="R525" s="71"/>
      <c r="S525" s="72"/>
      <c r="U525" s="72"/>
      <c r="V525" s="72"/>
      <c r="W525" s="72"/>
      <c r="X525" s="72"/>
    </row>
    <row r="526" spans="4:24" ht="15.75" customHeight="1"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9"/>
      <c r="P526" s="70"/>
      <c r="Q526" s="70"/>
      <c r="R526" s="71"/>
      <c r="S526" s="72"/>
      <c r="U526" s="72"/>
      <c r="V526" s="72"/>
      <c r="W526" s="72"/>
      <c r="X526" s="72"/>
    </row>
    <row r="527" spans="4:24" ht="15.75" customHeight="1"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9"/>
      <c r="P527" s="70"/>
      <c r="Q527" s="70"/>
      <c r="R527" s="71"/>
      <c r="S527" s="72"/>
      <c r="U527" s="72"/>
      <c r="V527" s="72"/>
      <c r="W527" s="72"/>
      <c r="X527" s="72"/>
    </row>
    <row r="528" spans="4:24" ht="15.75" customHeight="1"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9"/>
      <c r="P528" s="70"/>
      <c r="Q528" s="70"/>
      <c r="R528" s="71"/>
      <c r="S528" s="72"/>
      <c r="U528" s="72"/>
      <c r="V528" s="72"/>
      <c r="W528" s="72"/>
      <c r="X528" s="72"/>
    </row>
    <row r="529" spans="4:24" ht="15.75" customHeight="1"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9"/>
      <c r="P529" s="70"/>
      <c r="Q529" s="70"/>
      <c r="R529" s="71"/>
      <c r="S529" s="72"/>
      <c r="U529" s="72"/>
      <c r="V529" s="72"/>
      <c r="W529" s="72"/>
      <c r="X529" s="72"/>
    </row>
    <row r="530" spans="4:24" ht="15.75" customHeight="1"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9"/>
      <c r="P530" s="70"/>
      <c r="Q530" s="70"/>
      <c r="R530" s="71"/>
      <c r="S530" s="72"/>
      <c r="U530" s="72"/>
      <c r="V530" s="72"/>
      <c r="W530" s="72"/>
      <c r="X530" s="72"/>
    </row>
    <row r="531" spans="4:24" ht="15.75" customHeight="1"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9"/>
      <c r="P531" s="70"/>
      <c r="Q531" s="70"/>
      <c r="R531" s="71"/>
      <c r="S531" s="72"/>
      <c r="U531" s="72"/>
      <c r="V531" s="72"/>
      <c r="W531" s="72"/>
      <c r="X531" s="72"/>
    </row>
    <row r="532" spans="4:24" ht="15.75" customHeight="1"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9"/>
      <c r="P532" s="70"/>
      <c r="Q532" s="70"/>
      <c r="R532" s="71"/>
      <c r="S532" s="72"/>
      <c r="U532" s="72"/>
      <c r="V532" s="72"/>
      <c r="W532" s="72"/>
      <c r="X532" s="72"/>
    </row>
    <row r="533" spans="4:24" ht="15.75" customHeight="1"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9"/>
      <c r="P533" s="70"/>
      <c r="Q533" s="70"/>
      <c r="R533" s="71"/>
      <c r="S533" s="72"/>
      <c r="U533" s="72"/>
      <c r="V533" s="72"/>
      <c r="W533" s="72"/>
      <c r="X533" s="72"/>
    </row>
    <row r="534" spans="4:24" ht="15.75" customHeight="1"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9"/>
      <c r="P534" s="70"/>
      <c r="Q534" s="70"/>
      <c r="R534" s="71"/>
      <c r="S534" s="72"/>
      <c r="U534" s="72"/>
      <c r="V534" s="72"/>
      <c r="W534" s="72"/>
      <c r="X534" s="72"/>
    </row>
    <row r="535" spans="4:24" ht="15.75" customHeight="1"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9"/>
      <c r="P535" s="70"/>
      <c r="Q535" s="70"/>
      <c r="R535" s="71"/>
      <c r="S535" s="72"/>
      <c r="U535" s="72"/>
      <c r="V535" s="72"/>
      <c r="W535" s="72"/>
      <c r="X535" s="72"/>
    </row>
    <row r="536" spans="4:24" ht="15.75" customHeight="1"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9"/>
      <c r="P536" s="70"/>
      <c r="Q536" s="70"/>
      <c r="R536" s="71"/>
      <c r="S536" s="72"/>
      <c r="U536" s="72"/>
      <c r="V536" s="72"/>
      <c r="W536" s="72"/>
      <c r="X536" s="72"/>
    </row>
    <row r="537" spans="4:24" ht="15.75" customHeight="1"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9"/>
      <c r="P537" s="70"/>
      <c r="Q537" s="70"/>
      <c r="R537" s="71"/>
      <c r="S537" s="72"/>
      <c r="U537" s="72"/>
      <c r="V537" s="72"/>
      <c r="W537" s="72"/>
      <c r="X537" s="72"/>
    </row>
    <row r="538" spans="4:24" ht="15.75" customHeight="1"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9"/>
      <c r="P538" s="70"/>
      <c r="Q538" s="70"/>
      <c r="R538" s="71"/>
      <c r="S538" s="72"/>
      <c r="U538" s="72"/>
      <c r="V538" s="72"/>
      <c r="W538" s="72"/>
      <c r="X538" s="72"/>
    </row>
    <row r="539" spans="4:24" ht="15.75" customHeight="1"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9"/>
      <c r="P539" s="70"/>
      <c r="Q539" s="70"/>
      <c r="R539" s="71"/>
      <c r="S539" s="72"/>
      <c r="U539" s="72"/>
      <c r="V539" s="72"/>
      <c r="W539" s="72"/>
      <c r="X539" s="72"/>
    </row>
    <row r="540" spans="4:24" ht="15.75" customHeight="1"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9"/>
      <c r="P540" s="70"/>
      <c r="Q540" s="70"/>
      <c r="R540" s="71"/>
      <c r="S540" s="72"/>
      <c r="U540" s="72"/>
      <c r="V540" s="72"/>
      <c r="W540" s="72"/>
      <c r="X540" s="72"/>
    </row>
    <row r="541" spans="4:24" ht="15.75" customHeight="1"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9"/>
      <c r="P541" s="70"/>
      <c r="Q541" s="70"/>
      <c r="R541" s="71"/>
      <c r="S541" s="72"/>
      <c r="U541" s="72"/>
      <c r="V541" s="72"/>
      <c r="W541" s="72"/>
      <c r="X541" s="72"/>
    </row>
    <row r="542" spans="4:24" ht="15.75" customHeight="1"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9"/>
      <c r="P542" s="70"/>
      <c r="Q542" s="70"/>
      <c r="R542" s="71"/>
      <c r="S542" s="72"/>
      <c r="U542" s="72"/>
      <c r="V542" s="72"/>
      <c r="W542" s="72"/>
      <c r="X542" s="72"/>
    </row>
    <row r="543" spans="4:24" ht="15.75" customHeight="1"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9"/>
      <c r="P543" s="70"/>
      <c r="Q543" s="70"/>
      <c r="R543" s="71"/>
      <c r="S543" s="72"/>
      <c r="U543" s="72"/>
      <c r="V543" s="72"/>
      <c r="W543" s="72"/>
      <c r="X543" s="72"/>
    </row>
    <row r="544" spans="4:24" ht="15.75" customHeight="1"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9"/>
      <c r="P544" s="70"/>
      <c r="Q544" s="70"/>
      <c r="R544" s="71"/>
      <c r="S544" s="72"/>
      <c r="U544" s="72"/>
      <c r="V544" s="72"/>
      <c r="W544" s="72"/>
      <c r="X544" s="72"/>
    </row>
    <row r="545" spans="4:24" ht="15.75" customHeight="1"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9"/>
      <c r="P545" s="70"/>
      <c r="Q545" s="70"/>
      <c r="R545" s="71"/>
      <c r="S545" s="72"/>
      <c r="U545" s="72"/>
      <c r="V545" s="72"/>
      <c r="W545" s="72"/>
      <c r="X545" s="72"/>
    </row>
    <row r="546" spans="4:24" ht="15.75" customHeight="1"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9"/>
      <c r="P546" s="70"/>
      <c r="Q546" s="70"/>
      <c r="R546" s="71"/>
      <c r="S546" s="72"/>
      <c r="U546" s="72"/>
      <c r="V546" s="72"/>
      <c r="W546" s="72"/>
      <c r="X546" s="72"/>
    </row>
    <row r="547" spans="4:24" ht="15.75" customHeight="1"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9"/>
      <c r="P547" s="70"/>
      <c r="Q547" s="70"/>
      <c r="R547" s="71"/>
      <c r="S547" s="72"/>
      <c r="U547" s="72"/>
      <c r="V547" s="72"/>
      <c r="W547" s="72"/>
      <c r="X547" s="72"/>
    </row>
    <row r="548" spans="4:24" ht="15.75" customHeight="1"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9"/>
      <c r="P548" s="70"/>
      <c r="Q548" s="70"/>
      <c r="R548" s="71"/>
      <c r="S548" s="72"/>
      <c r="U548" s="72"/>
      <c r="V548" s="72"/>
      <c r="W548" s="72"/>
      <c r="X548" s="72"/>
    </row>
    <row r="549" spans="4:24" ht="15.75" customHeight="1"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9"/>
      <c r="P549" s="70"/>
      <c r="Q549" s="70"/>
      <c r="R549" s="71"/>
      <c r="S549" s="72"/>
      <c r="U549" s="72"/>
      <c r="V549" s="72"/>
      <c r="W549" s="72"/>
      <c r="X549" s="72"/>
    </row>
    <row r="550" spans="4:24" ht="15.75" customHeight="1"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9"/>
      <c r="P550" s="70"/>
      <c r="Q550" s="70"/>
      <c r="R550" s="71"/>
      <c r="S550" s="72"/>
      <c r="U550" s="72"/>
      <c r="V550" s="72"/>
      <c r="W550" s="72"/>
      <c r="X550" s="72"/>
    </row>
    <row r="551" spans="4:24" ht="15.75" customHeight="1"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9"/>
      <c r="P551" s="70"/>
      <c r="Q551" s="70"/>
      <c r="R551" s="71"/>
      <c r="S551" s="72"/>
      <c r="U551" s="72"/>
      <c r="V551" s="72"/>
      <c r="W551" s="72"/>
      <c r="X551" s="72"/>
    </row>
    <row r="552" spans="4:24" ht="15.75" customHeight="1"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9"/>
      <c r="P552" s="70"/>
      <c r="Q552" s="70"/>
      <c r="R552" s="71"/>
      <c r="S552" s="72"/>
      <c r="U552" s="72"/>
      <c r="V552" s="72"/>
      <c r="W552" s="72"/>
      <c r="X552" s="72"/>
    </row>
    <row r="553" spans="4:24" ht="15.75" customHeight="1"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9"/>
      <c r="P553" s="70"/>
      <c r="Q553" s="70"/>
      <c r="R553" s="71"/>
      <c r="S553" s="72"/>
      <c r="U553" s="72"/>
      <c r="V553" s="72"/>
      <c r="W553" s="72"/>
      <c r="X553" s="72"/>
    </row>
    <row r="554" spans="4:24" ht="15.75" customHeight="1"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9"/>
      <c r="P554" s="70"/>
      <c r="Q554" s="70"/>
      <c r="R554" s="71"/>
      <c r="S554" s="72"/>
      <c r="U554" s="72"/>
      <c r="V554" s="72"/>
      <c r="W554" s="72"/>
      <c r="X554" s="72"/>
    </row>
    <row r="555" spans="4:24" ht="15.75" customHeight="1"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9"/>
      <c r="P555" s="70"/>
      <c r="Q555" s="70"/>
      <c r="R555" s="71"/>
      <c r="S555" s="72"/>
      <c r="U555" s="72"/>
      <c r="V555" s="72"/>
      <c r="W555" s="72"/>
      <c r="X555" s="72"/>
    </row>
    <row r="556" spans="4:24" ht="15.75" customHeight="1"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9"/>
      <c r="P556" s="70"/>
      <c r="Q556" s="70"/>
      <c r="R556" s="71"/>
      <c r="S556" s="72"/>
      <c r="U556" s="72"/>
      <c r="V556" s="72"/>
      <c r="W556" s="72"/>
      <c r="X556" s="72"/>
    </row>
    <row r="557" spans="4:24" ht="15.75" customHeight="1"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9"/>
      <c r="P557" s="70"/>
      <c r="Q557" s="70"/>
      <c r="R557" s="71"/>
      <c r="S557" s="72"/>
      <c r="U557" s="72"/>
      <c r="V557" s="72"/>
      <c r="W557" s="72"/>
      <c r="X557" s="72"/>
    </row>
    <row r="558" spans="4:24" ht="15.75" customHeight="1"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9"/>
      <c r="P558" s="70"/>
      <c r="Q558" s="70"/>
      <c r="R558" s="71"/>
      <c r="S558" s="72"/>
      <c r="U558" s="72"/>
      <c r="V558" s="72"/>
      <c r="W558" s="72"/>
      <c r="X558" s="72"/>
    </row>
    <row r="559" spans="4:24" ht="15.75" customHeight="1"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9"/>
      <c r="P559" s="70"/>
      <c r="Q559" s="70"/>
      <c r="R559" s="71"/>
      <c r="S559" s="72"/>
      <c r="U559" s="72"/>
      <c r="V559" s="72"/>
      <c r="W559" s="72"/>
      <c r="X559" s="72"/>
    </row>
    <row r="560" spans="4:24" ht="15.75" customHeight="1"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9"/>
      <c r="P560" s="70"/>
      <c r="Q560" s="70"/>
      <c r="R560" s="71"/>
      <c r="S560" s="72"/>
      <c r="U560" s="72"/>
      <c r="V560" s="72"/>
      <c r="W560" s="72"/>
      <c r="X560" s="72"/>
    </row>
    <row r="561" spans="4:24" ht="15.75" customHeight="1"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9"/>
      <c r="P561" s="70"/>
      <c r="Q561" s="70"/>
      <c r="R561" s="71"/>
      <c r="S561" s="72"/>
      <c r="U561" s="72"/>
      <c r="V561" s="72"/>
      <c r="W561" s="72"/>
      <c r="X561" s="72"/>
    </row>
    <row r="562" spans="4:24" ht="15.75" customHeight="1"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9"/>
      <c r="P562" s="70"/>
      <c r="Q562" s="70"/>
      <c r="R562" s="71"/>
      <c r="S562" s="72"/>
      <c r="U562" s="72"/>
      <c r="V562" s="72"/>
      <c r="W562" s="72"/>
      <c r="X562" s="72"/>
    </row>
    <row r="563" spans="4:24" ht="15.75" customHeight="1"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9"/>
      <c r="P563" s="70"/>
      <c r="Q563" s="70"/>
      <c r="R563" s="71"/>
      <c r="S563" s="72"/>
      <c r="U563" s="72"/>
      <c r="V563" s="72"/>
      <c r="W563" s="72"/>
      <c r="X563" s="72"/>
    </row>
    <row r="564" spans="4:24" ht="15.75" customHeight="1"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9"/>
      <c r="P564" s="70"/>
      <c r="Q564" s="70"/>
      <c r="R564" s="71"/>
      <c r="S564" s="72"/>
      <c r="U564" s="72"/>
      <c r="V564" s="72"/>
      <c r="W564" s="72"/>
      <c r="X564" s="72"/>
    </row>
    <row r="565" spans="4:24" ht="15.75" customHeight="1"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9"/>
      <c r="P565" s="70"/>
      <c r="Q565" s="70"/>
      <c r="R565" s="71"/>
      <c r="S565" s="72"/>
      <c r="U565" s="72"/>
      <c r="V565" s="72"/>
      <c r="W565" s="72"/>
      <c r="X565" s="72"/>
    </row>
    <row r="566" spans="4:24" ht="15.75" customHeight="1"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9"/>
      <c r="P566" s="70"/>
      <c r="Q566" s="70"/>
      <c r="R566" s="71"/>
      <c r="S566" s="72"/>
      <c r="U566" s="72"/>
      <c r="V566" s="72"/>
      <c r="W566" s="72"/>
      <c r="X566" s="72"/>
    </row>
    <row r="567" spans="4:24" ht="15.75" customHeight="1"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9"/>
      <c r="P567" s="70"/>
      <c r="Q567" s="70"/>
      <c r="R567" s="71"/>
      <c r="S567" s="72"/>
      <c r="U567" s="72"/>
      <c r="V567" s="72"/>
      <c r="W567" s="72"/>
      <c r="X567" s="72"/>
    </row>
    <row r="568" spans="4:24" ht="15.75" customHeight="1"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9"/>
      <c r="P568" s="70"/>
      <c r="Q568" s="70"/>
      <c r="R568" s="71"/>
      <c r="S568" s="72"/>
      <c r="U568" s="72"/>
      <c r="V568" s="72"/>
      <c r="W568" s="72"/>
      <c r="X568" s="72"/>
    </row>
    <row r="569" spans="4:24" ht="15.75" customHeight="1"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9"/>
      <c r="P569" s="70"/>
      <c r="Q569" s="70"/>
      <c r="R569" s="71"/>
      <c r="S569" s="72"/>
      <c r="U569" s="72"/>
      <c r="V569" s="72"/>
      <c r="W569" s="72"/>
      <c r="X569" s="72"/>
    </row>
    <row r="570" spans="4:24" ht="15.75" customHeight="1"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9"/>
      <c r="P570" s="70"/>
      <c r="Q570" s="70"/>
      <c r="R570" s="71"/>
      <c r="S570" s="72"/>
      <c r="U570" s="72"/>
      <c r="V570" s="72"/>
      <c r="W570" s="72"/>
      <c r="X570" s="72"/>
    </row>
    <row r="571" spans="4:24" ht="15.75" customHeight="1"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9"/>
      <c r="P571" s="70"/>
      <c r="Q571" s="70"/>
      <c r="R571" s="71"/>
      <c r="S571" s="72"/>
      <c r="U571" s="72"/>
      <c r="V571" s="72"/>
      <c r="W571" s="72"/>
      <c r="X571" s="72"/>
    </row>
    <row r="572" spans="4:24" ht="15.75" customHeight="1"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9"/>
      <c r="P572" s="70"/>
      <c r="Q572" s="70"/>
      <c r="R572" s="71"/>
      <c r="S572" s="72"/>
      <c r="U572" s="72"/>
      <c r="V572" s="72"/>
      <c r="W572" s="72"/>
      <c r="X572" s="72"/>
    </row>
    <row r="573" spans="4:24" ht="15.75" customHeight="1"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9"/>
      <c r="P573" s="70"/>
      <c r="Q573" s="70"/>
      <c r="R573" s="71"/>
      <c r="S573" s="72"/>
      <c r="U573" s="72"/>
      <c r="V573" s="72"/>
      <c r="W573" s="72"/>
      <c r="X573" s="72"/>
    </row>
    <row r="574" spans="4:24" ht="15.75" customHeight="1"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9"/>
      <c r="P574" s="70"/>
      <c r="Q574" s="70"/>
      <c r="R574" s="71"/>
      <c r="S574" s="72"/>
      <c r="U574" s="72"/>
      <c r="V574" s="72"/>
      <c r="W574" s="72"/>
      <c r="X574" s="72"/>
    </row>
    <row r="575" spans="4:24" ht="15.75" customHeight="1"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9"/>
      <c r="P575" s="70"/>
      <c r="Q575" s="70"/>
      <c r="R575" s="71"/>
      <c r="S575" s="72"/>
      <c r="U575" s="72"/>
      <c r="V575" s="72"/>
      <c r="W575" s="72"/>
      <c r="X575" s="72"/>
    </row>
    <row r="576" spans="4:24" ht="15.75" customHeight="1"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9"/>
      <c r="P576" s="70"/>
      <c r="Q576" s="70"/>
      <c r="R576" s="71"/>
      <c r="S576" s="72"/>
      <c r="U576" s="72"/>
      <c r="V576" s="72"/>
      <c r="W576" s="72"/>
      <c r="X576" s="72"/>
    </row>
    <row r="577" spans="4:24" ht="15.75" customHeight="1"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9"/>
      <c r="P577" s="70"/>
      <c r="Q577" s="70"/>
      <c r="R577" s="71"/>
      <c r="S577" s="72"/>
      <c r="U577" s="72"/>
      <c r="V577" s="72"/>
      <c r="W577" s="72"/>
      <c r="X577" s="72"/>
    </row>
    <row r="578" spans="4:24" ht="15.75" customHeight="1"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9"/>
      <c r="P578" s="70"/>
      <c r="Q578" s="70"/>
      <c r="R578" s="71"/>
      <c r="S578" s="72"/>
      <c r="U578" s="72"/>
      <c r="V578" s="72"/>
      <c r="W578" s="72"/>
      <c r="X578" s="72"/>
    </row>
    <row r="579" spans="4:24" ht="15.75" customHeight="1"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9"/>
      <c r="P579" s="70"/>
      <c r="Q579" s="70"/>
      <c r="R579" s="71"/>
      <c r="S579" s="72"/>
      <c r="U579" s="72"/>
      <c r="V579" s="72"/>
      <c r="W579" s="72"/>
      <c r="X579" s="72"/>
    </row>
    <row r="580" spans="4:24" ht="15.75" customHeight="1"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9"/>
      <c r="P580" s="70"/>
      <c r="Q580" s="70"/>
      <c r="R580" s="71"/>
      <c r="S580" s="72"/>
      <c r="U580" s="72"/>
      <c r="V580" s="72"/>
      <c r="W580" s="72"/>
      <c r="X580" s="72"/>
    </row>
    <row r="581" spans="4:24" ht="15.75" customHeight="1"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9"/>
      <c r="P581" s="70"/>
      <c r="Q581" s="70"/>
      <c r="R581" s="71"/>
      <c r="S581" s="72"/>
      <c r="U581" s="72"/>
      <c r="V581" s="72"/>
      <c r="W581" s="72"/>
      <c r="X581" s="72"/>
    </row>
    <row r="582" spans="4:24" ht="15.75" customHeight="1"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9"/>
      <c r="P582" s="70"/>
      <c r="Q582" s="70"/>
      <c r="R582" s="71"/>
      <c r="S582" s="72"/>
      <c r="U582" s="72"/>
      <c r="V582" s="72"/>
      <c r="W582" s="72"/>
      <c r="X582" s="72"/>
    </row>
    <row r="583" spans="4:24" ht="15.75" customHeight="1"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9"/>
      <c r="P583" s="70"/>
      <c r="Q583" s="70"/>
      <c r="R583" s="71"/>
      <c r="S583" s="72"/>
      <c r="U583" s="72"/>
      <c r="V583" s="72"/>
      <c r="W583" s="72"/>
      <c r="X583" s="72"/>
    </row>
    <row r="584" spans="4:24" ht="15.75" customHeight="1"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9"/>
      <c r="P584" s="70"/>
      <c r="Q584" s="70"/>
      <c r="R584" s="71"/>
      <c r="S584" s="72"/>
      <c r="U584" s="72"/>
      <c r="V584" s="72"/>
      <c r="W584" s="72"/>
      <c r="X584" s="72"/>
    </row>
    <row r="585" spans="4:24" ht="15.75" customHeight="1"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9"/>
      <c r="P585" s="70"/>
      <c r="Q585" s="70"/>
      <c r="R585" s="71"/>
      <c r="S585" s="72"/>
      <c r="U585" s="72"/>
      <c r="V585" s="72"/>
      <c r="W585" s="72"/>
      <c r="X585" s="72"/>
    </row>
    <row r="586" spans="4:24" ht="15.75" customHeight="1"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9"/>
      <c r="P586" s="70"/>
      <c r="Q586" s="70"/>
      <c r="R586" s="71"/>
      <c r="S586" s="72"/>
      <c r="U586" s="72"/>
      <c r="V586" s="72"/>
      <c r="W586" s="72"/>
      <c r="X586" s="72"/>
    </row>
    <row r="587" spans="4:24" ht="15.75" customHeight="1"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9"/>
      <c r="P587" s="70"/>
      <c r="Q587" s="70"/>
      <c r="R587" s="71"/>
      <c r="S587" s="72"/>
      <c r="U587" s="72"/>
      <c r="V587" s="72"/>
      <c r="W587" s="72"/>
      <c r="X587" s="72"/>
    </row>
    <row r="588" spans="4:24" ht="15.75" customHeight="1"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9"/>
      <c r="P588" s="70"/>
      <c r="Q588" s="70"/>
      <c r="R588" s="71"/>
      <c r="S588" s="72"/>
      <c r="U588" s="72"/>
      <c r="V588" s="72"/>
      <c r="W588" s="72"/>
      <c r="X588" s="72"/>
    </row>
    <row r="589" spans="4:24" ht="15.75" customHeight="1"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9"/>
      <c r="P589" s="70"/>
      <c r="Q589" s="70"/>
      <c r="R589" s="71"/>
      <c r="S589" s="72"/>
      <c r="U589" s="72"/>
      <c r="V589" s="72"/>
      <c r="W589" s="72"/>
      <c r="X589" s="72"/>
    </row>
    <row r="590" spans="4:24" ht="15.75" customHeight="1"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9"/>
      <c r="P590" s="70"/>
      <c r="Q590" s="70"/>
      <c r="R590" s="71"/>
      <c r="S590" s="72"/>
      <c r="U590" s="72"/>
      <c r="V590" s="72"/>
      <c r="W590" s="72"/>
      <c r="X590" s="72"/>
    </row>
    <row r="591" spans="4:24" ht="15.75" customHeight="1"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9"/>
      <c r="P591" s="70"/>
      <c r="Q591" s="70"/>
      <c r="R591" s="71"/>
      <c r="S591" s="72"/>
      <c r="U591" s="72"/>
      <c r="V591" s="72"/>
      <c r="W591" s="72"/>
      <c r="X591" s="72"/>
    </row>
    <row r="592" spans="4:24" ht="15.75" customHeight="1"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9"/>
      <c r="P592" s="70"/>
      <c r="Q592" s="70"/>
      <c r="R592" s="71"/>
      <c r="S592" s="72"/>
      <c r="U592" s="72"/>
      <c r="V592" s="72"/>
      <c r="W592" s="72"/>
      <c r="X592" s="72"/>
    </row>
    <row r="593" spans="4:24" ht="15.75" customHeight="1"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9"/>
      <c r="P593" s="70"/>
      <c r="Q593" s="70"/>
      <c r="R593" s="71"/>
      <c r="S593" s="72"/>
      <c r="U593" s="72"/>
      <c r="V593" s="72"/>
      <c r="W593" s="72"/>
      <c r="X593" s="72"/>
    </row>
    <row r="594" spans="4:24" ht="15.75" customHeight="1"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9"/>
      <c r="P594" s="70"/>
      <c r="Q594" s="70"/>
      <c r="R594" s="71"/>
      <c r="S594" s="72"/>
      <c r="U594" s="72"/>
      <c r="V594" s="72"/>
      <c r="W594" s="72"/>
      <c r="X594" s="72"/>
    </row>
    <row r="595" spans="4:24" ht="15.75" customHeight="1"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9"/>
      <c r="P595" s="70"/>
      <c r="Q595" s="70"/>
      <c r="R595" s="71"/>
      <c r="S595" s="72"/>
      <c r="U595" s="72"/>
      <c r="V595" s="72"/>
      <c r="W595" s="72"/>
      <c r="X595" s="72"/>
    </row>
    <row r="596" spans="4:24" ht="15.75" customHeight="1"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9"/>
      <c r="P596" s="70"/>
      <c r="Q596" s="70"/>
      <c r="R596" s="71"/>
      <c r="S596" s="72"/>
      <c r="U596" s="72"/>
      <c r="V596" s="72"/>
      <c r="W596" s="72"/>
      <c r="X596" s="72"/>
    </row>
    <row r="597" spans="4:24" ht="15.75" customHeight="1"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9"/>
      <c r="P597" s="70"/>
      <c r="Q597" s="70"/>
      <c r="R597" s="71"/>
      <c r="S597" s="72"/>
      <c r="U597" s="72"/>
      <c r="V597" s="72"/>
      <c r="W597" s="72"/>
      <c r="X597" s="72"/>
    </row>
    <row r="598" spans="4:24" ht="15.75" customHeight="1"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9"/>
      <c r="P598" s="70"/>
      <c r="Q598" s="70"/>
      <c r="R598" s="71"/>
      <c r="S598" s="72"/>
      <c r="U598" s="72"/>
      <c r="V598" s="72"/>
      <c r="W598" s="72"/>
      <c r="X598" s="72"/>
    </row>
    <row r="599" spans="4:24" ht="15.75" customHeight="1"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9"/>
      <c r="P599" s="70"/>
      <c r="Q599" s="70"/>
      <c r="R599" s="71"/>
      <c r="S599" s="72"/>
      <c r="U599" s="72"/>
      <c r="V599" s="72"/>
      <c r="W599" s="72"/>
      <c r="X599" s="72"/>
    </row>
    <row r="600" spans="4:24" ht="15.75" customHeight="1"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9"/>
      <c r="P600" s="70"/>
      <c r="Q600" s="70"/>
      <c r="R600" s="71"/>
      <c r="S600" s="72"/>
      <c r="U600" s="72"/>
      <c r="V600" s="72"/>
      <c r="W600" s="72"/>
      <c r="X600" s="72"/>
    </row>
    <row r="601" spans="4:24" ht="15.75" customHeight="1"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9"/>
      <c r="P601" s="70"/>
      <c r="Q601" s="70"/>
      <c r="R601" s="71"/>
      <c r="S601" s="72"/>
      <c r="U601" s="72"/>
      <c r="V601" s="72"/>
      <c r="W601" s="72"/>
      <c r="X601" s="72"/>
    </row>
    <row r="602" spans="4:24" ht="15.75" customHeight="1"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9"/>
      <c r="P602" s="70"/>
      <c r="Q602" s="70"/>
      <c r="R602" s="71"/>
      <c r="S602" s="72"/>
      <c r="U602" s="72"/>
      <c r="V602" s="72"/>
      <c r="W602" s="72"/>
      <c r="X602" s="72"/>
    </row>
    <row r="603" spans="4:24" ht="15.75" customHeight="1"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9"/>
      <c r="P603" s="70"/>
      <c r="Q603" s="70"/>
      <c r="R603" s="71"/>
      <c r="S603" s="72"/>
      <c r="U603" s="72"/>
      <c r="V603" s="72"/>
      <c r="W603" s="72"/>
      <c r="X603" s="72"/>
    </row>
    <row r="604" spans="4:24" ht="15.75" customHeight="1"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9"/>
      <c r="P604" s="70"/>
      <c r="Q604" s="70"/>
      <c r="R604" s="71"/>
      <c r="S604" s="72"/>
      <c r="U604" s="72"/>
      <c r="V604" s="72"/>
      <c r="W604" s="72"/>
      <c r="X604" s="72"/>
    </row>
    <row r="605" spans="4:24" ht="15.75" customHeight="1"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9"/>
      <c r="P605" s="70"/>
      <c r="Q605" s="70"/>
      <c r="R605" s="71"/>
      <c r="S605" s="72"/>
      <c r="U605" s="72"/>
      <c r="V605" s="72"/>
      <c r="W605" s="72"/>
      <c r="X605" s="72"/>
    </row>
    <row r="606" spans="4:24" ht="15.75" customHeight="1"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9"/>
      <c r="P606" s="70"/>
      <c r="Q606" s="70"/>
      <c r="R606" s="71"/>
      <c r="S606" s="72"/>
      <c r="U606" s="72"/>
      <c r="V606" s="72"/>
      <c r="W606" s="72"/>
      <c r="X606" s="72"/>
    </row>
    <row r="607" spans="4:24" ht="15.75" customHeight="1"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9"/>
      <c r="P607" s="70"/>
      <c r="Q607" s="70"/>
      <c r="R607" s="71"/>
      <c r="S607" s="72"/>
      <c r="U607" s="72"/>
      <c r="V607" s="72"/>
      <c r="W607" s="72"/>
      <c r="X607" s="72"/>
    </row>
    <row r="608" spans="4:24" ht="15.75" customHeight="1"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9"/>
      <c r="P608" s="70"/>
      <c r="Q608" s="70"/>
      <c r="R608" s="71"/>
      <c r="S608" s="72"/>
      <c r="U608" s="72"/>
      <c r="V608" s="72"/>
      <c r="W608" s="72"/>
      <c r="X608" s="72"/>
    </row>
    <row r="609" spans="4:24" ht="15.75" customHeight="1"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9"/>
      <c r="P609" s="70"/>
      <c r="Q609" s="70"/>
      <c r="R609" s="71"/>
      <c r="S609" s="72"/>
      <c r="U609" s="72"/>
      <c r="V609" s="72"/>
      <c r="W609" s="72"/>
      <c r="X609" s="72"/>
    </row>
    <row r="610" spans="4:24" ht="15.75" customHeight="1"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9"/>
      <c r="P610" s="70"/>
      <c r="Q610" s="70"/>
      <c r="R610" s="71"/>
      <c r="S610" s="72"/>
      <c r="U610" s="72"/>
      <c r="V610" s="72"/>
      <c r="W610" s="72"/>
      <c r="X610" s="72"/>
    </row>
    <row r="611" spans="4:24" ht="15.75" customHeight="1"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9"/>
      <c r="P611" s="70"/>
      <c r="Q611" s="70"/>
      <c r="R611" s="71"/>
      <c r="S611" s="72"/>
      <c r="U611" s="72"/>
      <c r="V611" s="72"/>
      <c r="W611" s="72"/>
      <c r="X611" s="72"/>
    </row>
    <row r="612" spans="4:24" ht="15.75" customHeight="1"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9"/>
      <c r="P612" s="70"/>
      <c r="Q612" s="70"/>
      <c r="R612" s="71"/>
      <c r="S612" s="72"/>
      <c r="U612" s="72"/>
      <c r="V612" s="72"/>
      <c r="W612" s="72"/>
      <c r="X612" s="72"/>
    </row>
    <row r="613" spans="4:24" ht="15.75" customHeight="1"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9"/>
      <c r="P613" s="70"/>
      <c r="Q613" s="70"/>
      <c r="R613" s="71"/>
      <c r="S613" s="72"/>
      <c r="U613" s="72"/>
      <c r="V613" s="72"/>
      <c r="W613" s="72"/>
      <c r="X613" s="72"/>
    </row>
    <row r="614" spans="4:24" ht="15.75" customHeight="1"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9"/>
      <c r="P614" s="70"/>
      <c r="Q614" s="70"/>
      <c r="R614" s="71"/>
      <c r="S614" s="72"/>
      <c r="U614" s="72"/>
      <c r="V614" s="72"/>
      <c r="W614" s="72"/>
      <c r="X614" s="72"/>
    </row>
    <row r="615" spans="4:24" ht="15.75" customHeight="1"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9"/>
      <c r="P615" s="70"/>
      <c r="Q615" s="70"/>
      <c r="R615" s="71"/>
      <c r="S615" s="72"/>
      <c r="U615" s="72"/>
      <c r="V615" s="72"/>
      <c r="W615" s="72"/>
      <c r="X615" s="72"/>
    </row>
    <row r="616" spans="4:24" ht="15.75" customHeight="1"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9"/>
      <c r="P616" s="70"/>
      <c r="Q616" s="70"/>
      <c r="R616" s="71"/>
      <c r="S616" s="72"/>
      <c r="U616" s="72"/>
      <c r="V616" s="72"/>
      <c r="W616" s="72"/>
      <c r="X616" s="72"/>
    </row>
    <row r="617" spans="4:24" ht="15.75" customHeight="1"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9"/>
      <c r="P617" s="70"/>
      <c r="Q617" s="70"/>
      <c r="R617" s="71"/>
      <c r="S617" s="72"/>
      <c r="U617" s="72"/>
      <c r="V617" s="72"/>
      <c r="W617" s="72"/>
      <c r="X617" s="72"/>
    </row>
    <row r="618" spans="4:24" ht="15.75" customHeight="1"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9"/>
      <c r="P618" s="70"/>
      <c r="Q618" s="70"/>
      <c r="R618" s="71"/>
      <c r="S618" s="72"/>
      <c r="U618" s="72"/>
      <c r="V618" s="72"/>
      <c r="W618" s="72"/>
      <c r="X618" s="72"/>
    </row>
    <row r="619" spans="4:24" ht="15.75" customHeight="1"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9"/>
      <c r="P619" s="70"/>
      <c r="Q619" s="70"/>
      <c r="R619" s="71"/>
      <c r="S619" s="72"/>
      <c r="U619" s="72"/>
      <c r="V619" s="72"/>
      <c r="W619" s="72"/>
      <c r="X619" s="72"/>
    </row>
    <row r="620" spans="4:24" ht="15.75" customHeight="1"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9"/>
      <c r="P620" s="70"/>
      <c r="Q620" s="70"/>
      <c r="R620" s="71"/>
      <c r="S620" s="72"/>
      <c r="U620" s="72"/>
      <c r="V620" s="72"/>
      <c r="W620" s="72"/>
      <c r="X620" s="72"/>
    </row>
    <row r="621" spans="4:24" ht="15.75" customHeight="1"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9"/>
      <c r="P621" s="70"/>
      <c r="Q621" s="70"/>
      <c r="R621" s="71"/>
      <c r="S621" s="72"/>
      <c r="U621" s="72"/>
      <c r="V621" s="72"/>
      <c r="W621" s="72"/>
      <c r="X621" s="72"/>
    </row>
    <row r="622" spans="4:24" ht="15.75" customHeight="1"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9"/>
      <c r="P622" s="70"/>
      <c r="Q622" s="70"/>
      <c r="R622" s="71"/>
      <c r="S622" s="72"/>
      <c r="U622" s="72"/>
      <c r="V622" s="72"/>
      <c r="W622" s="72"/>
      <c r="X622" s="72"/>
    </row>
    <row r="623" spans="4:24" ht="15.75" customHeight="1"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9"/>
      <c r="P623" s="70"/>
      <c r="Q623" s="70"/>
      <c r="R623" s="71"/>
      <c r="S623" s="72"/>
      <c r="U623" s="72"/>
      <c r="V623" s="72"/>
      <c r="W623" s="72"/>
      <c r="X623" s="72"/>
    </row>
    <row r="624" spans="4:24" ht="15.75" customHeight="1"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9"/>
      <c r="P624" s="70"/>
      <c r="Q624" s="70"/>
      <c r="R624" s="71"/>
      <c r="S624" s="72"/>
      <c r="U624" s="72"/>
      <c r="V624" s="72"/>
      <c r="W624" s="72"/>
      <c r="X624" s="72"/>
    </row>
    <row r="625" spans="4:24" ht="15.75" customHeight="1"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9"/>
      <c r="P625" s="70"/>
      <c r="Q625" s="70"/>
      <c r="R625" s="71"/>
      <c r="S625" s="72"/>
      <c r="U625" s="72"/>
      <c r="V625" s="72"/>
      <c r="W625" s="72"/>
      <c r="X625" s="72"/>
    </row>
    <row r="626" spans="4:24" ht="15.75" customHeight="1"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9"/>
      <c r="P626" s="70"/>
      <c r="Q626" s="70"/>
      <c r="R626" s="71"/>
      <c r="S626" s="72"/>
      <c r="U626" s="72"/>
      <c r="V626" s="72"/>
      <c r="W626" s="72"/>
      <c r="X626" s="72"/>
    </row>
    <row r="627" spans="4:24" ht="15.75" customHeight="1"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9"/>
      <c r="P627" s="70"/>
      <c r="Q627" s="70"/>
      <c r="R627" s="71"/>
      <c r="S627" s="72"/>
      <c r="U627" s="72"/>
      <c r="V627" s="72"/>
      <c r="W627" s="72"/>
      <c r="X627" s="72"/>
    </row>
    <row r="628" spans="4:24" ht="15.75" customHeight="1"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9"/>
      <c r="P628" s="70"/>
      <c r="Q628" s="70"/>
      <c r="R628" s="71"/>
      <c r="S628" s="72"/>
      <c r="U628" s="72"/>
      <c r="V628" s="72"/>
      <c r="W628" s="72"/>
      <c r="X628" s="72"/>
    </row>
    <row r="629" spans="4:24" ht="15.75" customHeight="1"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9"/>
      <c r="P629" s="70"/>
      <c r="Q629" s="70"/>
      <c r="R629" s="71"/>
      <c r="S629" s="72"/>
      <c r="U629" s="72"/>
      <c r="V629" s="72"/>
      <c r="W629" s="72"/>
      <c r="X629" s="72"/>
    </row>
    <row r="630" spans="4:24" ht="15.75" customHeight="1"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9"/>
      <c r="P630" s="70"/>
      <c r="Q630" s="70"/>
      <c r="R630" s="71"/>
      <c r="S630" s="72"/>
      <c r="U630" s="72"/>
      <c r="V630" s="72"/>
      <c r="W630" s="72"/>
      <c r="X630" s="72"/>
    </row>
    <row r="631" spans="4:24" ht="15.75" customHeight="1"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9"/>
      <c r="P631" s="70"/>
      <c r="Q631" s="70"/>
      <c r="R631" s="71"/>
      <c r="S631" s="72"/>
      <c r="U631" s="72"/>
      <c r="V631" s="72"/>
      <c r="W631" s="72"/>
      <c r="X631" s="72"/>
    </row>
    <row r="632" spans="4:24" ht="15.75" customHeight="1"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9"/>
      <c r="P632" s="70"/>
      <c r="Q632" s="70"/>
      <c r="R632" s="71"/>
      <c r="S632" s="72"/>
      <c r="U632" s="72"/>
      <c r="V632" s="72"/>
      <c r="W632" s="72"/>
      <c r="X632" s="72"/>
    </row>
    <row r="633" spans="4:24" ht="15.75" customHeight="1"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9"/>
      <c r="P633" s="70"/>
      <c r="Q633" s="70"/>
      <c r="R633" s="71"/>
      <c r="S633" s="72"/>
      <c r="U633" s="72"/>
      <c r="V633" s="72"/>
      <c r="W633" s="72"/>
      <c r="X633" s="72"/>
    </row>
    <row r="634" spans="4:24" ht="15.75" customHeight="1"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9"/>
      <c r="P634" s="70"/>
      <c r="Q634" s="70"/>
      <c r="R634" s="71"/>
      <c r="S634" s="72"/>
      <c r="U634" s="72"/>
      <c r="V634" s="72"/>
      <c r="W634" s="72"/>
      <c r="X634" s="72"/>
    </row>
    <row r="635" spans="4:24" ht="15.75" customHeight="1"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9"/>
      <c r="P635" s="70"/>
      <c r="Q635" s="70"/>
      <c r="R635" s="71"/>
      <c r="S635" s="72"/>
      <c r="U635" s="72"/>
      <c r="V635" s="72"/>
      <c r="W635" s="72"/>
      <c r="X635" s="72"/>
    </row>
    <row r="636" spans="4:24" ht="15.75" customHeight="1"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9"/>
      <c r="P636" s="70"/>
      <c r="Q636" s="70"/>
      <c r="R636" s="71"/>
      <c r="S636" s="72"/>
      <c r="U636" s="72"/>
      <c r="V636" s="72"/>
      <c r="W636" s="72"/>
      <c r="X636" s="72"/>
    </row>
    <row r="637" spans="4:24" ht="15.75" customHeight="1"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9"/>
      <c r="P637" s="70"/>
      <c r="Q637" s="70"/>
      <c r="R637" s="71"/>
      <c r="S637" s="72"/>
      <c r="U637" s="72"/>
      <c r="V637" s="72"/>
      <c r="W637" s="72"/>
      <c r="X637" s="72"/>
    </row>
    <row r="638" spans="4:24" ht="15.75" customHeight="1"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9"/>
      <c r="P638" s="70"/>
      <c r="Q638" s="70"/>
      <c r="R638" s="71"/>
      <c r="S638" s="72"/>
      <c r="U638" s="72"/>
      <c r="V638" s="72"/>
      <c r="W638" s="72"/>
      <c r="X638" s="72"/>
    </row>
    <row r="639" spans="4:24" ht="15.75" customHeight="1"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9"/>
      <c r="P639" s="70"/>
      <c r="Q639" s="70"/>
      <c r="R639" s="71"/>
      <c r="S639" s="72"/>
      <c r="U639" s="72"/>
      <c r="V639" s="72"/>
      <c r="W639" s="72"/>
      <c r="X639" s="72"/>
    </row>
    <row r="640" spans="4:24" ht="15.75" customHeight="1"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9"/>
      <c r="P640" s="70"/>
      <c r="Q640" s="70"/>
      <c r="R640" s="71"/>
      <c r="S640" s="72"/>
      <c r="U640" s="72"/>
      <c r="V640" s="72"/>
      <c r="W640" s="72"/>
      <c r="X640" s="72"/>
    </row>
    <row r="641" spans="4:24" ht="15.75" customHeight="1"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9"/>
      <c r="P641" s="70"/>
      <c r="Q641" s="70"/>
      <c r="R641" s="71"/>
      <c r="S641" s="72"/>
      <c r="U641" s="72"/>
      <c r="V641" s="72"/>
      <c r="W641" s="72"/>
      <c r="X641" s="72"/>
    </row>
    <row r="642" spans="4:24" ht="15.75" customHeight="1"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9"/>
      <c r="P642" s="70"/>
      <c r="Q642" s="70"/>
      <c r="R642" s="71"/>
      <c r="S642" s="72"/>
      <c r="U642" s="72"/>
      <c r="V642" s="72"/>
      <c r="W642" s="72"/>
      <c r="X642" s="72"/>
    </row>
    <row r="643" spans="4:24" ht="15.75" customHeight="1"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9"/>
      <c r="P643" s="70"/>
      <c r="Q643" s="70"/>
      <c r="R643" s="71"/>
      <c r="S643" s="72"/>
      <c r="U643" s="72"/>
      <c r="V643" s="72"/>
      <c r="W643" s="72"/>
      <c r="X643" s="72"/>
    </row>
    <row r="644" spans="4:24" ht="15.75" customHeight="1"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9"/>
      <c r="P644" s="70"/>
      <c r="Q644" s="70"/>
      <c r="R644" s="71"/>
      <c r="S644" s="72"/>
      <c r="U644" s="72"/>
      <c r="V644" s="72"/>
      <c r="W644" s="72"/>
      <c r="X644" s="72"/>
    </row>
    <row r="645" spans="4:24" ht="15.75" customHeight="1"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9"/>
      <c r="P645" s="70"/>
      <c r="Q645" s="70"/>
      <c r="R645" s="71"/>
      <c r="S645" s="72"/>
      <c r="U645" s="72"/>
      <c r="V645" s="72"/>
      <c r="W645" s="72"/>
      <c r="X645" s="72"/>
    </row>
    <row r="646" spans="4:24" ht="15.75" customHeight="1"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9"/>
      <c r="P646" s="70"/>
      <c r="Q646" s="70"/>
      <c r="R646" s="71"/>
      <c r="S646" s="72"/>
      <c r="U646" s="72"/>
      <c r="V646" s="72"/>
      <c r="W646" s="72"/>
      <c r="X646" s="72"/>
    </row>
    <row r="647" spans="4:24" ht="15.75" customHeight="1"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9"/>
      <c r="P647" s="70"/>
      <c r="Q647" s="70"/>
      <c r="R647" s="71"/>
      <c r="S647" s="72"/>
      <c r="U647" s="72"/>
      <c r="V647" s="72"/>
      <c r="W647" s="72"/>
      <c r="X647" s="72"/>
    </row>
    <row r="648" spans="4:24" ht="15.75" customHeight="1"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9"/>
      <c r="P648" s="70"/>
      <c r="Q648" s="70"/>
      <c r="R648" s="71"/>
      <c r="S648" s="72"/>
      <c r="U648" s="72"/>
      <c r="V648" s="72"/>
      <c r="W648" s="72"/>
      <c r="X648" s="72"/>
    </row>
    <row r="649" spans="4:24" ht="15.75" customHeight="1"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9"/>
      <c r="P649" s="70"/>
      <c r="Q649" s="70"/>
      <c r="R649" s="71"/>
      <c r="S649" s="72"/>
      <c r="U649" s="72"/>
      <c r="V649" s="72"/>
      <c r="W649" s="72"/>
      <c r="X649" s="72"/>
    </row>
    <row r="650" spans="4:24" ht="15.75" customHeight="1"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9"/>
      <c r="P650" s="70"/>
      <c r="Q650" s="70"/>
      <c r="R650" s="71"/>
      <c r="S650" s="72"/>
      <c r="U650" s="72"/>
      <c r="V650" s="72"/>
      <c r="W650" s="72"/>
      <c r="X650" s="72"/>
    </row>
    <row r="651" spans="4:24" ht="15.75" customHeight="1"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9"/>
      <c r="P651" s="70"/>
      <c r="Q651" s="70"/>
      <c r="R651" s="71"/>
      <c r="S651" s="72"/>
      <c r="U651" s="72"/>
      <c r="V651" s="72"/>
      <c r="W651" s="72"/>
      <c r="X651" s="72"/>
    </row>
    <row r="652" spans="4:24" ht="15.75" customHeight="1"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9"/>
      <c r="P652" s="70"/>
      <c r="Q652" s="70"/>
      <c r="R652" s="71"/>
      <c r="S652" s="72"/>
      <c r="U652" s="72"/>
      <c r="V652" s="72"/>
      <c r="W652" s="72"/>
      <c r="X652" s="72"/>
    </row>
    <row r="653" spans="4:24" ht="15.75" customHeight="1"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9"/>
      <c r="P653" s="70"/>
      <c r="Q653" s="70"/>
      <c r="R653" s="71"/>
      <c r="S653" s="72"/>
      <c r="U653" s="72"/>
      <c r="V653" s="72"/>
      <c r="W653" s="72"/>
      <c r="X653" s="72"/>
    </row>
    <row r="654" spans="4:24" ht="15.75" customHeight="1"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9"/>
      <c r="P654" s="70"/>
      <c r="Q654" s="70"/>
      <c r="R654" s="71"/>
      <c r="S654" s="72"/>
      <c r="U654" s="72"/>
      <c r="V654" s="72"/>
      <c r="W654" s="72"/>
      <c r="X654" s="72"/>
    </row>
    <row r="655" spans="4:24" ht="15.75" customHeight="1"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9"/>
      <c r="P655" s="70"/>
      <c r="Q655" s="70"/>
      <c r="R655" s="71"/>
      <c r="S655" s="72"/>
      <c r="U655" s="72"/>
      <c r="V655" s="72"/>
      <c r="W655" s="72"/>
      <c r="X655" s="72"/>
    </row>
    <row r="656" spans="4:24" ht="15.75" customHeight="1"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9"/>
      <c r="P656" s="70"/>
      <c r="Q656" s="70"/>
      <c r="R656" s="71"/>
      <c r="S656" s="72"/>
      <c r="U656" s="72"/>
      <c r="V656" s="72"/>
      <c r="W656" s="72"/>
      <c r="X656" s="72"/>
    </row>
    <row r="657" spans="4:24" ht="15.75" customHeight="1"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9"/>
      <c r="P657" s="70"/>
      <c r="Q657" s="70"/>
      <c r="R657" s="71"/>
      <c r="S657" s="72"/>
      <c r="U657" s="72"/>
      <c r="V657" s="72"/>
      <c r="W657" s="72"/>
      <c r="X657" s="72"/>
    </row>
    <row r="658" spans="4:24" ht="15.75" customHeight="1"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9"/>
      <c r="P658" s="70"/>
      <c r="Q658" s="70"/>
      <c r="R658" s="71"/>
      <c r="S658" s="72"/>
      <c r="U658" s="72"/>
      <c r="V658" s="72"/>
      <c r="W658" s="72"/>
      <c r="X658" s="72"/>
    </row>
    <row r="659" spans="4:24" ht="15.75" customHeight="1"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9"/>
      <c r="P659" s="70"/>
      <c r="Q659" s="70"/>
      <c r="R659" s="71"/>
      <c r="S659" s="72"/>
      <c r="U659" s="72"/>
      <c r="V659" s="72"/>
      <c r="W659" s="72"/>
      <c r="X659" s="72"/>
    </row>
    <row r="660" spans="4:24" ht="15.75" customHeight="1"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9"/>
      <c r="P660" s="70"/>
      <c r="Q660" s="70"/>
      <c r="R660" s="71"/>
      <c r="S660" s="72"/>
      <c r="U660" s="72"/>
      <c r="V660" s="72"/>
      <c r="W660" s="72"/>
      <c r="X660" s="72"/>
    </row>
    <row r="661" spans="4:24" ht="15.75" customHeight="1"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9"/>
      <c r="P661" s="70"/>
      <c r="Q661" s="70"/>
      <c r="R661" s="71"/>
      <c r="S661" s="72"/>
      <c r="U661" s="72"/>
      <c r="V661" s="72"/>
      <c r="W661" s="72"/>
      <c r="X661" s="72"/>
    </row>
    <row r="662" spans="4:24" ht="15.75" customHeight="1"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9"/>
      <c r="P662" s="70"/>
      <c r="Q662" s="70"/>
      <c r="R662" s="71"/>
      <c r="S662" s="72"/>
      <c r="U662" s="72"/>
      <c r="V662" s="72"/>
      <c r="W662" s="72"/>
      <c r="X662" s="72"/>
    </row>
    <row r="663" spans="4:24" ht="15.75" customHeight="1"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9"/>
      <c r="P663" s="70"/>
      <c r="Q663" s="70"/>
      <c r="R663" s="71"/>
      <c r="S663" s="72"/>
      <c r="U663" s="72"/>
      <c r="V663" s="72"/>
      <c r="W663" s="72"/>
      <c r="X663" s="72"/>
    </row>
    <row r="664" spans="4:24" ht="15.75" customHeight="1"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9"/>
      <c r="P664" s="70"/>
      <c r="Q664" s="70"/>
      <c r="R664" s="71"/>
      <c r="S664" s="72"/>
      <c r="U664" s="72"/>
      <c r="V664" s="72"/>
      <c r="W664" s="72"/>
      <c r="X664" s="72"/>
    </row>
    <row r="665" spans="4:24" ht="15.75" customHeight="1"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9"/>
      <c r="P665" s="70"/>
      <c r="Q665" s="70"/>
      <c r="R665" s="71"/>
      <c r="S665" s="72"/>
      <c r="U665" s="72"/>
      <c r="V665" s="72"/>
      <c r="W665" s="72"/>
      <c r="X665" s="72"/>
    </row>
    <row r="666" spans="4:24" ht="15.75" customHeight="1"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9"/>
      <c r="P666" s="70"/>
      <c r="Q666" s="70"/>
      <c r="R666" s="71"/>
      <c r="S666" s="72"/>
      <c r="U666" s="72"/>
      <c r="V666" s="72"/>
      <c r="W666" s="72"/>
      <c r="X666" s="72"/>
    </row>
    <row r="667" spans="4:24" ht="15.75" customHeight="1"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9"/>
      <c r="P667" s="70"/>
      <c r="Q667" s="70"/>
      <c r="R667" s="71"/>
      <c r="S667" s="72"/>
      <c r="U667" s="72"/>
      <c r="V667" s="72"/>
      <c r="W667" s="72"/>
      <c r="X667" s="72"/>
    </row>
    <row r="668" spans="4:24" ht="15.75" customHeight="1"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9"/>
      <c r="P668" s="70"/>
      <c r="Q668" s="70"/>
      <c r="R668" s="71"/>
      <c r="S668" s="72"/>
      <c r="U668" s="72"/>
      <c r="V668" s="72"/>
      <c r="W668" s="72"/>
      <c r="X668" s="72"/>
    </row>
    <row r="669" spans="4:24" ht="15.75" customHeight="1"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9"/>
      <c r="P669" s="70"/>
      <c r="Q669" s="70"/>
      <c r="R669" s="71"/>
      <c r="S669" s="72"/>
      <c r="U669" s="72"/>
      <c r="V669" s="72"/>
      <c r="W669" s="72"/>
      <c r="X669" s="72"/>
    </row>
    <row r="670" spans="4:24" ht="15.75" customHeight="1"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9"/>
      <c r="P670" s="70"/>
      <c r="Q670" s="70"/>
      <c r="R670" s="71"/>
      <c r="S670" s="72"/>
      <c r="U670" s="72"/>
      <c r="V670" s="72"/>
      <c r="W670" s="72"/>
      <c r="X670" s="72"/>
    </row>
    <row r="671" spans="4:24" ht="15.75" customHeight="1"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9"/>
      <c r="P671" s="70"/>
      <c r="Q671" s="70"/>
      <c r="R671" s="71"/>
      <c r="S671" s="72"/>
      <c r="U671" s="72"/>
      <c r="V671" s="72"/>
      <c r="W671" s="72"/>
      <c r="X671" s="72"/>
    </row>
    <row r="672" spans="4:24" ht="15.75" customHeight="1"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9"/>
      <c r="P672" s="70"/>
      <c r="Q672" s="70"/>
      <c r="R672" s="71"/>
      <c r="S672" s="72"/>
      <c r="U672" s="72"/>
      <c r="V672" s="72"/>
      <c r="W672" s="72"/>
      <c r="X672" s="72"/>
    </row>
    <row r="673" spans="4:24" ht="15.75" customHeight="1"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9"/>
      <c r="P673" s="70"/>
      <c r="Q673" s="70"/>
      <c r="R673" s="71"/>
      <c r="S673" s="72"/>
      <c r="U673" s="72"/>
      <c r="V673" s="72"/>
      <c r="W673" s="72"/>
      <c r="X673" s="72"/>
    </row>
    <row r="674" spans="4:24" ht="15.75" customHeight="1"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9"/>
      <c r="P674" s="70"/>
      <c r="Q674" s="70"/>
      <c r="R674" s="71"/>
      <c r="S674" s="72"/>
      <c r="U674" s="72"/>
      <c r="V674" s="72"/>
      <c r="W674" s="72"/>
      <c r="X674" s="72"/>
    </row>
    <row r="675" spans="4:24" ht="15.75" customHeight="1"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9"/>
      <c r="P675" s="70"/>
      <c r="Q675" s="70"/>
      <c r="R675" s="71"/>
      <c r="S675" s="72"/>
      <c r="U675" s="72"/>
      <c r="V675" s="72"/>
      <c r="W675" s="72"/>
      <c r="X675" s="72"/>
    </row>
    <row r="676" spans="4:24" ht="15.75" customHeight="1"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9"/>
      <c r="P676" s="70"/>
      <c r="Q676" s="70"/>
      <c r="R676" s="71"/>
      <c r="S676" s="72"/>
      <c r="U676" s="72"/>
      <c r="V676" s="72"/>
      <c r="W676" s="72"/>
      <c r="X676" s="72"/>
    </row>
    <row r="677" spans="4:24" ht="15.75" customHeight="1"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9"/>
      <c r="P677" s="70"/>
      <c r="Q677" s="70"/>
      <c r="R677" s="71"/>
      <c r="S677" s="72"/>
      <c r="U677" s="72"/>
      <c r="V677" s="72"/>
      <c r="W677" s="72"/>
      <c r="X677" s="72"/>
    </row>
    <row r="678" spans="4:24" ht="15.75" customHeight="1"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9"/>
      <c r="P678" s="70"/>
      <c r="Q678" s="70"/>
      <c r="R678" s="71"/>
      <c r="S678" s="72"/>
      <c r="U678" s="72"/>
      <c r="V678" s="72"/>
      <c r="W678" s="72"/>
      <c r="X678" s="72"/>
    </row>
    <row r="679" spans="4:24" ht="15.75" customHeight="1"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9"/>
      <c r="P679" s="70"/>
      <c r="Q679" s="70"/>
      <c r="R679" s="71"/>
      <c r="S679" s="72"/>
      <c r="U679" s="72"/>
      <c r="V679" s="72"/>
      <c r="W679" s="72"/>
      <c r="X679" s="72"/>
    </row>
    <row r="680" spans="4:24" ht="15.75" customHeight="1"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9"/>
      <c r="P680" s="70"/>
      <c r="Q680" s="70"/>
      <c r="R680" s="71"/>
      <c r="S680" s="72"/>
      <c r="U680" s="72"/>
      <c r="V680" s="72"/>
      <c r="W680" s="72"/>
      <c r="X680" s="72"/>
    </row>
    <row r="681" spans="4:24" ht="15.75" customHeight="1"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9"/>
      <c r="P681" s="70"/>
      <c r="Q681" s="70"/>
      <c r="R681" s="71"/>
      <c r="S681" s="72"/>
      <c r="U681" s="72"/>
      <c r="V681" s="72"/>
      <c r="W681" s="72"/>
      <c r="X681" s="72"/>
    </row>
    <row r="682" spans="4:24" ht="15.75" customHeight="1"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9"/>
      <c r="P682" s="70"/>
      <c r="Q682" s="70"/>
      <c r="R682" s="71"/>
      <c r="S682" s="72"/>
      <c r="U682" s="72"/>
      <c r="V682" s="72"/>
      <c r="W682" s="72"/>
      <c r="X682" s="72"/>
    </row>
    <row r="683" spans="4:24" ht="15.75" customHeight="1"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9"/>
      <c r="P683" s="70"/>
      <c r="Q683" s="70"/>
      <c r="R683" s="71"/>
      <c r="S683" s="72"/>
      <c r="U683" s="72"/>
      <c r="V683" s="72"/>
      <c r="W683" s="72"/>
      <c r="X683" s="72"/>
    </row>
    <row r="684" spans="4:24" ht="15.75" customHeight="1"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9"/>
      <c r="P684" s="70"/>
      <c r="Q684" s="70"/>
      <c r="R684" s="71"/>
      <c r="S684" s="72"/>
      <c r="U684" s="72"/>
      <c r="V684" s="72"/>
      <c r="W684" s="72"/>
      <c r="X684" s="72"/>
    </row>
    <row r="685" spans="4:24" ht="15.75" customHeight="1"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9"/>
      <c r="P685" s="70"/>
      <c r="Q685" s="70"/>
      <c r="R685" s="71"/>
      <c r="S685" s="72"/>
      <c r="U685" s="72"/>
      <c r="V685" s="72"/>
      <c r="W685" s="72"/>
      <c r="X685" s="72"/>
    </row>
    <row r="686" spans="4:24" ht="15.75" customHeight="1"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9"/>
      <c r="P686" s="70"/>
      <c r="Q686" s="70"/>
      <c r="R686" s="71"/>
      <c r="S686" s="72"/>
      <c r="U686" s="72"/>
      <c r="V686" s="72"/>
      <c r="W686" s="72"/>
      <c r="X686" s="72"/>
    </row>
    <row r="687" spans="4:24" ht="15.75" customHeight="1"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9"/>
      <c r="P687" s="70"/>
      <c r="Q687" s="70"/>
      <c r="R687" s="71"/>
      <c r="S687" s="72"/>
      <c r="U687" s="72"/>
      <c r="V687" s="72"/>
      <c r="W687" s="72"/>
      <c r="X687" s="72"/>
    </row>
    <row r="688" spans="4:24" ht="15.75" customHeight="1"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9"/>
      <c r="P688" s="70"/>
      <c r="Q688" s="70"/>
      <c r="R688" s="71"/>
      <c r="S688" s="72"/>
      <c r="U688" s="72"/>
      <c r="V688" s="72"/>
      <c r="W688" s="72"/>
      <c r="X688" s="72"/>
    </row>
    <row r="689" spans="4:24" ht="15.75" customHeight="1"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9"/>
      <c r="P689" s="70"/>
      <c r="Q689" s="70"/>
      <c r="R689" s="71"/>
      <c r="S689" s="72"/>
      <c r="U689" s="72"/>
      <c r="V689" s="72"/>
      <c r="W689" s="72"/>
      <c r="X689" s="72"/>
    </row>
    <row r="690" spans="4:24" ht="15.75" customHeight="1"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9"/>
      <c r="P690" s="70"/>
      <c r="Q690" s="70"/>
      <c r="R690" s="71"/>
      <c r="S690" s="72"/>
      <c r="U690" s="72"/>
      <c r="V690" s="72"/>
      <c r="W690" s="72"/>
      <c r="X690" s="72"/>
    </row>
    <row r="691" spans="4:24" ht="15.75" customHeight="1"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9"/>
      <c r="P691" s="70"/>
      <c r="Q691" s="70"/>
      <c r="R691" s="71"/>
      <c r="S691" s="72"/>
      <c r="U691" s="72"/>
      <c r="V691" s="72"/>
      <c r="W691" s="72"/>
      <c r="X691" s="72"/>
    </row>
    <row r="692" spans="4:24" ht="15.75" customHeight="1"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9"/>
      <c r="P692" s="70"/>
      <c r="Q692" s="70"/>
      <c r="R692" s="71"/>
      <c r="S692" s="72"/>
      <c r="U692" s="72"/>
      <c r="V692" s="72"/>
      <c r="W692" s="72"/>
      <c r="X692" s="72"/>
    </row>
    <row r="693" spans="4:24" ht="15.75" customHeight="1"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9"/>
      <c r="P693" s="70"/>
      <c r="Q693" s="70"/>
      <c r="R693" s="71"/>
      <c r="S693" s="72"/>
      <c r="U693" s="72"/>
      <c r="V693" s="72"/>
      <c r="W693" s="72"/>
      <c r="X693" s="72"/>
    </row>
    <row r="694" spans="4:24" ht="15.75" customHeight="1"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9"/>
      <c r="P694" s="70"/>
      <c r="Q694" s="70"/>
      <c r="R694" s="71"/>
      <c r="S694" s="72"/>
      <c r="U694" s="72"/>
      <c r="V694" s="72"/>
      <c r="W694" s="72"/>
      <c r="X694" s="72"/>
    </row>
    <row r="695" spans="4:24" ht="15.75" customHeight="1"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9"/>
      <c r="P695" s="70"/>
      <c r="Q695" s="70"/>
      <c r="R695" s="71"/>
      <c r="S695" s="72"/>
      <c r="U695" s="72"/>
      <c r="V695" s="72"/>
      <c r="W695" s="72"/>
      <c r="X695" s="72"/>
    </row>
    <row r="696" spans="4:24" ht="15.75" customHeight="1"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9"/>
      <c r="P696" s="70"/>
      <c r="Q696" s="70"/>
      <c r="R696" s="71"/>
      <c r="S696" s="72"/>
      <c r="U696" s="72"/>
      <c r="V696" s="72"/>
      <c r="W696" s="72"/>
      <c r="X696" s="72"/>
    </row>
    <row r="697" spans="4:24" ht="15.75" customHeight="1"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9"/>
      <c r="P697" s="70"/>
      <c r="Q697" s="70"/>
      <c r="R697" s="71"/>
      <c r="S697" s="72"/>
      <c r="U697" s="72"/>
      <c r="V697" s="72"/>
      <c r="W697" s="72"/>
      <c r="X697" s="72"/>
    </row>
    <row r="698" spans="4:24" ht="15.75" customHeight="1"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9"/>
      <c r="P698" s="70"/>
      <c r="Q698" s="70"/>
      <c r="R698" s="71"/>
      <c r="S698" s="72"/>
      <c r="U698" s="72"/>
      <c r="V698" s="72"/>
      <c r="W698" s="72"/>
      <c r="X698" s="72"/>
    </row>
    <row r="699" spans="4:24" ht="15.75" customHeight="1"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9"/>
      <c r="P699" s="70"/>
      <c r="Q699" s="70"/>
      <c r="R699" s="71"/>
      <c r="S699" s="72"/>
      <c r="U699" s="72"/>
      <c r="V699" s="72"/>
      <c r="W699" s="72"/>
      <c r="X699" s="72"/>
    </row>
    <row r="700" spans="4:24" ht="15.75" customHeight="1"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9"/>
      <c r="P700" s="70"/>
      <c r="Q700" s="70"/>
      <c r="R700" s="71"/>
      <c r="S700" s="72"/>
      <c r="U700" s="72"/>
      <c r="V700" s="72"/>
      <c r="W700" s="72"/>
      <c r="X700" s="72"/>
    </row>
    <row r="701" spans="4:24" ht="15.75" customHeight="1"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9"/>
      <c r="P701" s="70"/>
      <c r="Q701" s="70"/>
      <c r="R701" s="71"/>
      <c r="S701" s="72"/>
      <c r="U701" s="72"/>
      <c r="V701" s="72"/>
      <c r="W701" s="72"/>
      <c r="X701" s="72"/>
    </row>
    <row r="702" spans="4:24" ht="15.75" customHeight="1"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9"/>
      <c r="P702" s="70"/>
      <c r="Q702" s="70"/>
      <c r="R702" s="71"/>
      <c r="S702" s="72"/>
      <c r="U702" s="72"/>
      <c r="V702" s="72"/>
      <c r="W702" s="72"/>
      <c r="X702" s="72"/>
    </row>
    <row r="703" spans="4:24" ht="15.75" customHeight="1"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9"/>
      <c r="P703" s="70"/>
      <c r="Q703" s="70"/>
      <c r="R703" s="71"/>
      <c r="S703" s="72"/>
      <c r="U703" s="72"/>
      <c r="V703" s="72"/>
      <c r="W703" s="72"/>
      <c r="X703" s="72"/>
    </row>
    <row r="704" spans="4:24" ht="15.75" customHeight="1"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9"/>
      <c r="P704" s="70"/>
      <c r="Q704" s="70"/>
      <c r="R704" s="71"/>
      <c r="S704" s="72"/>
      <c r="U704" s="72"/>
      <c r="V704" s="72"/>
      <c r="W704" s="72"/>
      <c r="X704" s="72"/>
    </row>
    <row r="705" spans="4:24" ht="15.75" customHeight="1"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9"/>
      <c r="P705" s="70"/>
      <c r="Q705" s="70"/>
      <c r="R705" s="71"/>
      <c r="S705" s="72"/>
      <c r="U705" s="72"/>
      <c r="V705" s="72"/>
      <c r="W705" s="72"/>
      <c r="X705" s="72"/>
    </row>
    <row r="706" spans="4:24" ht="15.75" customHeight="1"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9"/>
      <c r="P706" s="70"/>
      <c r="Q706" s="70"/>
      <c r="R706" s="71"/>
      <c r="S706" s="72"/>
      <c r="U706" s="72"/>
      <c r="V706" s="72"/>
      <c r="W706" s="72"/>
      <c r="X706" s="72"/>
    </row>
    <row r="707" spans="4:24" ht="15.75" customHeight="1"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9"/>
      <c r="P707" s="70"/>
      <c r="Q707" s="70"/>
      <c r="R707" s="71"/>
      <c r="S707" s="72"/>
      <c r="U707" s="72"/>
      <c r="V707" s="72"/>
      <c r="W707" s="72"/>
      <c r="X707" s="72"/>
    </row>
    <row r="708" spans="4:24" ht="15.75" customHeight="1"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9"/>
      <c r="P708" s="70"/>
      <c r="Q708" s="70"/>
      <c r="R708" s="71"/>
      <c r="S708" s="72"/>
      <c r="U708" s="72"/>
      <c r="V708" s="72"/>
      <c r="W708" s="72"/>
      <c r="X708" s="72"/>
    </row>
    <row r="709" spans="4:24" ht="15.75" customHeight="1"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9"/>
      <c r="P709" s="70"/>
      <c r="Q709" s="70"/>
      <c r="R709" s="71"/>
      <c r="S709" s="72"/>
      <c r="U709" s="72"/>
      <c r="V709" s="72"/>
      <c r="W709" s="72"/>
      <c r="X709" s="72"/>
    </row>
    <row r="710" spans="4:24" ht="15.75" customHeight="1"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9"/>
      <c r="P710" s="70"/>
      <c r="Q710" s="70"/>
      <c r="R710" s="71"/>
      <c r="S710" s="72"/>
      <c r="U710" s="72"/>
      <c r="V710" s="72"/>
      <c r="W710" s="72"/>
      <c r="X710" s="72"/>
    </row>
    <row r="711" spans="4:24" ht="15.75" customHeight="1"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9"/>
      <c r="P711" s="70"/>
      <c r="Q711" s="70"/>
      <c r="R711" s="71"/>
      <c r="S711" s="72"/>
      <c r="U711" s="72"/>
      <c r="V711" s="72"/>
      <c r="W711" s="72"/>
      <c r="X711" s="72"/>
    </row>
    <row r="712" spans="4:24" ht="15.75" customHeight="1"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9"/>
      <c r="P712" s="70"/>
      <c r="Q712" s="70"/>
      <c r="R712" s="71"/>
      <c r="S712" s="72"/>
      <c r="U712" s="72"/>
      <c r="V712" s="72"/>
      <c r="W712" s="72"/>
      <c r="X712" s="72"/>
    </row>
    <row r="713" spans="4:24" ht="15.75" customHeight="1"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9"/>
      <c r="P713" s="70"/>
      <c r="Q713" s="70"/>
      <c r="R713" s="71"/>
      <c r="S713" s="72"/>
      <c r="U713" s="72"/>
      <c r="V713" s="72"/>
      <c r="W713" s="72"/>
      <c r="X713" s="72"/>
    </row>
    <row r="714" spans="4:24" ht="15.75" customHeight="1"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9"/>
      <c r="P714" s="70"/>
      <c r="Q714" s="70"/>
      <c r="R714" s="71"/>
      <c r="S714" s="72"/>
      <c r="U714" s="72"/>
      <c r="V714" s="72"/>
      <c r="W714" s="72"/>
      <c r="X714" s="72"/>
    </row>
    <row r="715" spans="4:24" ht="15.75" customHeight="1"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9"/>
      <c r="P715" s="70"/>
      <c r="Q715" s="70"/>
      <c r="R715" s="71"/>
      <c r="S715" s="72"/>
      <c r="U715" s="72"/>
      <c r="V715" s="72"/>
      <c r="W715" s="72"/>
      <c r="X715" s="72"/>
    </row>
    <row r="716" spans="4:24" ht="15.75" customHeight="1"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9"/>
      <c r="P716" s="70"/>
      <c r="Q716" s="70"/>
      <c r="R716" s="71"/>
      <c r="S716" s="72"/>
      <c r="U716" s="72"/>
      <c r="V716" s="72"/>
      <c r="W716" s="72"/>
      <c r="X716" s="72"/>
    </row>
    <row r="717" spans="4:24" ht="15.75" customHeight="1"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9"/>
      <c r="P717" s="70"/>
      <c r="Q717" s="70"/>
      <c r="R717" s="71"/>
      <c r="S717" s="72"/>
      <c r="U717" s="72"/>
      <c r="V717" s="72"/>
      <c r="W717" s="72"/>
      <c r="X717" s="72"/>
    </row>
    <row r="718" spans="4:24" ht="15.75" customHeight="1"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9"/>
      <c r="P718" s="70"/>
      <c r="Q718" s="70"/>
      <c r="R718" s="71"/>
      <c r="S718" s="72"/>
      <c r="U718" s="72"/>
      <c r="V718" s="72"/>
      <c r="W718" s="72"/>
      <c r="X718" s="72"/>
    </row>
    <row r="719" spans="4:24" ht="15.75" customHeight="1"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9"/>
      <c r="P719" s="70"/>
      <c r="Q719" s="70"/>
      <c r="R719" s="71"/>
      <c r="S719" s="72"/>
      <c r="U719" s="72"/>
      <c r="V719" s="72"/>
      <c r="W719" s="72"/>
      <c r="X719" s="72"/>
    </row>
    <row r="720" spans="4:24" ht="15.75" customHeight="1"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9"/>
      <c r="P720" s="70"/>
      <c r="Q720" s="70"/>
      <c r="R720" s="71"/>
      <c r="S720" s="72"/>
      <c r="U720" s="72"/>
      <c r="V720" s="72"/>
      <c r="W720" s="72"/>
      <c r="X720" s="72"/>
    </row>
    <row r="721" spans="4:24" ht="15.75" customHeight="1"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9"/>
      <c r="P721" s="70"/>
      <c r="Q721" s="70"/>
      <c r="R721" s="71"/>
      <c r="S721" s="72"/>
      <c r="U721" s="72"/>
      <c r="V721" s="72"/>
      <c r="W721" s="72"/>
      <c r="X721" s="72"/>
    </row>
    <row r="722" spans="4:24" ht="15.75" customHeight="1"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9"/>
      <c r="P722" s="70"/>
      <c r="Q722" s="70"/>
      <c r="R722" s="71"/>
      <c r="S722" s="72"/>
      <c r="U722" s="72"/>
      <c r="V722" s="72"/>
      <c r="W722" s="72"/>
      <c r="X722" s="72"/>
    </row>
    <row r="723" spans="4:24" ht="15.75" customHeight="1"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9"/>
      <c r="P723" s="70"/>
      <c r="Q723" s="70"/>
      <c r="R723" s="71"/>
      <c r="S723" s="72"/>
      <c r="U723" s="72"/>
      <c r="V723" s="72"/>
      <c r="W723" s="72"/>
      <c r="X723" s="72"/>
    </row>
    <row r="724" spans="4:24" ht="15.75" customHeight="1"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9"/>
      <c r="P724" s="70"/>
      <c r="Q724" s="70"/>
      <c r="R724" s="71"/>
      <c r="S724" s="72"/>
      <c r="U724" s="72"/>
      <c r="V724" s="72"/>
      <c r="W724" s="72"/>
      <c r="X724" s="72"/>
    </row>
    <row r="725" spans="4:24" ht="15.75" customHeight="1"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9"/>
      <c r="P725" s="70"/>
      <c r="Q725" s="70"/>
      <c r="R725" s="71"/>
      <c r="S725" s="72"/>
      <c r="U725" s="72"/>
      <c r="V725" s="72"/>
      <c r="W725" s="72"/>
      <c r="X725" s="72"/>
    </row>
    <row r="726" spans="4:24" ht="15.75" customHeight="1"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9"/>
      <c r="P726" s="70"/>
      <c r="Q726" s="70"/>
      <c r="R726" s="71"/>
      <c r="S726" s="72"/>
      <c r="U726" s="72"/>
      <c r="V726" s="72"/>
      <c r="W726" s="72"/>
      <c r="X726" s="72"/>
    </row>
    <row r="727" spans="4:24" ht="15.75" customHeight="1"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9"/>
      <c r="P727" s="70"/>
      <c r="Q727" s="70"/>
      <c r="R727" s="71"/>
      <c r="S727" s="72"/>
      <c r="U727" s="72"/>
      <c r="V727" s="72"/>
      <c r="W727" s="72"/>
      <c r="X727" s="72"/>
    </row>
    <row r="728" spans="4:24" ht="15.75" customHeight="1"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9"/>
      <c r="P728" s="70"/>
      <c r="Q728" s="70"/>
      <c r="R728" s="71"/>
      <c r="S728" s="72"/>
      <c r="U728" s="72"/>
      <c r="V728" s="72"/>
      <c r="W728" s="72"/>
      <c r="X728" s="72"/>
    </row>
    <row r="729" spans="4:24" ht="15.75" customHeight="1"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9"/>
      <c r="P729" s="70"/>
      <c r="Q729" s="70"/>
      <c r="R729" s="71"/>
      <c r="S729" s="72"/>
      <c r="U729" s="72"/>
      <c r="V729" s="72"/>
      <c r="W729" s="72"/>
      <c r="X729" s="72"/>
    </row>
    <row r="730" spans="4:24" ht="15.75" customHeight="1"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9"/>
      <c r="P730" s="70"/>
      <c r="Q730" s="70"/>
      <c r="R730" s="71"/>
      <c r="S730" s="72"/>
      <c r="U730" s="72"/>
      <c r="V730" s="72"/>
      <c r="W730" s="72"/>
      <c r="X730" s="72"/>
    </row>
    <row r="731" spans="4:24" ht="15.75" customHeight="1"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9"/>
      <c r="P731" s="70"/>
      <c r="Q731" s="70"/>
      <c r="R731" s="71"/>
      <c r="S731" s="72"/>
      <c r="U731" s="72"/>
      <c r="V731" s="72"/>
      <c r="W731" s="72"/>
      <c r="X731" s="72"/>
    </row>
    <row r="732" spans="4:24" ht="15.75" customHeight="1"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9"/>
      <c r="P732" s="70"/>
      <c r="Q732" s="70"/>
      <c r="R732" s="71"/>
      <c r="S732" s="72"/>
      <c r="U732" s="72"/>
      <c r="V732" s="72"/>
      <c r="W732" s="72"/>
      <c r="X732" s="72"/>
    </row>
    <row r="733" spans="4:24" ht="15.75" customHeight="1"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9"/>
      <c r="P733" s="70"/>
      <c r="Q733" s="70"/>
      <c r="R733" s="71"/>
      <c r="S733" s="72"/>
      <c r="U733" s="72"/>
      <c r="V733" s="72"/>
      <c r="W733" s="72"/>
      <c r="X733" s="72"/>
    </row>
    <row r="734" spans="4:24" ht="15.75" customHeight="1"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9"/>
      <c r="P734" s="70"/>
      <c r="Q734" s="70"/>
      <c r="R734" s="71"/>
      <c r="S734" s="72"/>
      <c r="U734" s="72"/>
      <c r="V734" s="72"/>
      <c r="W734" s="72"/>
      <c r="X734" s="72"/>
    </row>
    <row r="735" spans="4:24" ht="15.75" customHeight="1"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9"/>
      <c r="P735" s="70"/>
      <c r="Q735" s="70"/>
      <c r="R735" s="71"/>
      <c r="S735" s="72"/>
      <c r="U735" s="72"/>
      <c r="V735" s="72"/>
      <c r="W735" s="72"/>
      <c r="X735" s="72"/>
    </row>
    <row r="736" spans="4:24" ht="15.75" customHeight="1"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9"/>
      <c r="P736" s="70"/>
      <c r="Q736" s="70"/>
      <c r="R736" s="71"/>
      <c r="S736" s="72"/>
      <c r="U736" s="72"/>
      <c r="V736" s="72"/>
      <c r="W736" s="72"/>
      <c r="X736" s="72"/>
    </row>
    <row r="737" spans="4:24" ht="15.75" customHeight="1"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9"/>
      <c r="P737" s="70"/>
      <c r="Q737" s="70"/>
      <c r="R737" s="71"/>
      <c r="S737" s="72"/>
      <c r="U737" s="72"/>
      <c r="V737" s="72"/>
      <c r="W737" s="72"/>
      <c r="X737" s="72"/>
    </row>
    <row r="738" spans="4:24" ht="15.75" customHeight="1"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9"/>
      <c r="P738" s="70"/>
      <c r="Q738" s="70"/>
      <c r="R738" s="71"/>
      <c r="S738" s="72"/>
      <c r="U738" s="72"/>
      <c r="V738" s="72"/>
      <c r="W738" s="72"/>
      <c r="X738" s="72"/>
    </row>
    <row r="739" spans="4:24" ht="15.75" customHeight="1"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9"/>
      <c r="P739" s="70"/>
      <c r="Q739" s="70"/>
      <c r="R739" s="71"/>
      <c r="S739" s="72"/>
      <c r="U739" s="72"/>
      <c r="V739" s="72"/>
      <c r="W739" s="72"/>
      <c r="X739" s="72"/>
    </row>
    <row r="740" spans="4:24" ht="15.75" customHeight="1"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9"/>
      <c r="P740" s="70"/>
      <c r="Q740" s="70"/>
      <c r="R740" s="71"/>
      <c r="S740" s="72"/>
      <c r="U740" s="72"/>
      <c r="V740" s="72"/>
      <c r="W740" s="72"/>
      <c r="X740" s="72"/>
    </row>
    <row r="741" spans="4:24" ht="15.75" customHeight="1"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9"/>
      <c r="P741" s="70"/>
      <c r="Q741" s="70"/>
      <c r="R741" s="71"/>
      <c r="S741" s="72"/>
      <c r="U741" s="72"/>
      <c r="V741" s="72"/>
      <c r="W741" s="72"/>
      <c r="X741" s="72"/>
    </row>
    <row r="742" spans="4:24" ht="15.75" customHeight="1"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9"/>
      <c r="P742" s="70"/>
      <c r="Q742" s="70"/>
      <c r="R742" s="71"/>
      <c r="S742" s="72"/>
      <c r="U742" s="72"/>
      <c r="V742" s="72"/>
      <c r="W742" s="72"/>
      <c r="X742" s="72"/>
    </row>
    <row r="743" spans="4:24" ht="15.75" customHeight="1"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9"/>
      <c r="P743" s="70"/>
      <c r="Q743" s="70"/>
      <c r="R743" s="71"/>
      <c r="S743" s="72"/>
      <c r="U743" s="72"/>
      <c r="V743" s="72"/>
      <c r="W743" s="72"/>
      <c r="X743" s="72"/>
    </row>
    <row r="744" spans="4:24" ht="15.75" customHeight="1"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9"/>
      <c r="P744" s="70"/>
      <c r="Q744" s="70"/>
      <c r="R744" s="71"/>
      <c r="S744" s="72"/>
      <c r="U744" s="72"/>
      <c r="V744" s="72"/>
      <c r="W744" s="72"/>
      <c r="X744" s="72"/>
    </row>
    <row r="745" spans="4:24" ht="15.75" customHeight="1"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9"/>
      <c r="P745" s="70"/>
      <c r="Q745" s="70"/>
      <c r="R745" s="71"/>
      <c r="S745" s="72"/>
      <c r="U745" s="72"/>
      <c r="V745" s="72"/>
      <c r="W745" s="72"/>
      <c r="X745" s="72"/>
    </row>
    <row r="746" spans="4:24" ht="15.75" customHeight="1"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9"/>
      <c r="P746" s="70"/>
      <c r="Q746" s="70"/>
      <c r="R746" s="71"/>
      <c r="S746" s="72"/>
      <c r="U746" s="72"/>
      <c r="V746" s="72"/>
      <c r="W746" s="72"/>
      <c r="X746" s="72"/>
    </row>
    <row r="747" spans="4:24" ht="15.75" customHeight="1"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9"/>
      <c r="P747" s="70"/>
      <c r="Q747" s="70"/>
      <c r="R747" s="71"/>
      <c r="S747" s="72"/>
      <c r="U747" s="72"/>
      <c r="V747" s="72"/>
      <c r="W747" s="72"/>
      <c r="X747" s="72"/>
    </row>
    <row r="748" spans="4:24" ht="15.75" customHeight="1"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9"/>
      <c r="P748" s="70"/>
      <c r="Q748" s="70"/>
      <c r="R748" s="71"/>
      <c r="S748" s="72"/>
      <c r="U748" s="72"/>
      <c r="V748" s="72"/>
      <c r="W748" s="72"/>
      <c r="X748" s="72"/>
    </row>
    <row r="749" spans="4:24" ht="15.75" customHeight="1"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9"/>
      <c r="P749" s="70"/>
      <c r="Q749" s="70"/>
      <c r="R749" s="71"/>
      <c r="S749" s="72"/>
      <c r="U749" s="72"/>
      <c r="V749" s="72"/>
      <c r="W749" s="72"/>
      <c r="X749" s="72"/>
    </row>
    <row r="750" spans="4:24" ht="15.75" customHeight="1"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9"/>
      <c r="P750" s="70"/>
      <c r="Q750" s="70"/>
      <c r="R750" s="71"/>
      <c r="S750" s="72"/>
      <c r="U750" s="72"/>
      <c r="V750" s="72"/>
      <c r="W750" s="72"/>
      <c r="X750" s="72"/>
    </row>
    <row r="751" spans="4:24" ht="15.75" customHeight="1"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9"/>
      <c r="P751" s="70"/>
      <c r="Q751" s="70"/>
      <c r="R751" s="71"/>
      <c r="S751" s="72"/>
      <c r="U751" s="72"/>
      <c r="V751" s="72"/>
      <c r="W751" s="72"/>
      <c r="X751" s="72"/>
    </row>
    <row r="752" spans="4:24" ht="15.75" customHeight="1"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9"/>
      <c r="P752" s="70"/>
      <c r="Q752" s="70"/>
      <c r="R752" s="71"/>
      <c r="S752" s="72"/>
      <c r="U752" s="72"/>
      <c r="V752" s="72"/>
      <c r="W752" s="72"/>
      <c r="X752" s="72"/>
    </row>
    <row r="753" spans="4:24" ht="15.75" customHeight="1"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9"/>
      <c r="P753" s="70"/>
      <c r="Q753" s="70"/>
      <c r="R753" s="71"/>
      <c r="S753" s="72"/>
      <c r="U753" s="72"/>
      <c r="V753" s="72"/>
      <c r="W753" s="72"/>
      <c r="X753" s="72"/>
    </row>
    <row r="754" spans="4:24" ht="15.75" customHeight="1"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9"/>
      <c r="P754" s="70"/>
      <c r="Q754" s="70"/>
      <c r="R754" s="71"/>
      <c r="S754" s="72"/>
      <c r="U754" s="72"/>
      <c r="V754" s="72"/>
      <c r="W754" s="72"/>
      <c r="X754" s="72"/>
    </row>
    <row r="755" spans="4:24" ht="15.75" customHeight="1"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9"/>
      <c r="P755" s="70"/>
      <c r="Q755" s="70"/>
      <c r="R755" s="71"/>
      <c r="S755" s="72"/>
      <c r="U755" s="72"/>
      <c r="V755" s="72"/>
      <c r="W755" s="72"/>
      <c r="X755" s="72"/>
    </row>
    <row r="756" spans="4:24" ht="15.75" customHeight="1"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9"/>
      <c r="P756" s="70"/>
      <c r="Q756" s="70"/>
      <c r="R756" s="71"/>
      <c r="S756" s="72"/>
      <c r="U756" s="72"/>
      <c r="V756" s="72"/>
      <c r="W756" s="72"/>
      <c r="X756" s="72"/>
    </row>
    <row r="757" spans="4:24" ht="15.75" customHeight="1"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9"/>
      <c r="P757" s="70"/>
      <c r="Q757" s="70"/>
      <c r="R757" s="71"/>
      <c r="S757" s="72"/>
      <c r="U757" s="72"/>
      <c r="V757" s="72"/>
      <c r="W757" s="72"/>
      <c r="X757" s="72"/>
    </row>
    <row r="758" spans="4:24" ht="15.75" customHeight="1"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9"/>
      <c r="P758" s="70"/>
      <c r="Q758" s="70"/>
      <c r="R758" s="71"/>
      <c r="S758" s="72"/>
      <c r="U758" s="72"/>
      <c r="V758" s="72"/>
      <c r="W758" s="72"/>
      <c r="X758" s="72"/>
    </row>
    <row r="759" spans="4:24" ht="15.75" customHeight="1"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9"/>
      <c r="P759" s="70"/>
      <c r="Q759" s="70"/>
      <c r="R759" s="71"/>
      <c r="S759" s="72"/>
      <c r="U759" s="72"/>
      <c r="V759" s="72"/>
      <c r="W759" s="72"/>
      <c r="X759" s="72"/>
    </row>
    <row r="760" spans="4:24" ht="15.75" customHeight="1"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9"/>
      <c r="P760" s="70"/>
      <c r="Q760" s="70"/>
      <c r="R760" s="71"/>
      <c r="S760" s="72"/>
      <c r="U760" s="72"/>
      <c r="V760" s="72"/>
      <c r="W760" s="72"/>
      <c r="X760" s="72"/>
    </row>
    <row r="761" spans="4:24" ht="15.75" customHeight="1"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9"/>
      <c r="P761" s="70"/>
      <c r="Q761" s="70"/>
      <c r="R761" s="71"/>
      <c r="S761" s="72"/>
      <c r="U761" s="72"/>
      <c r="V761" s="72"/>
      <c r="W761" s="72"/>
      <c r="X761" s="72"/>
    </row>
    <row r="762" spans="4:24" ht="15.75" customHeight="1"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9"/>
      <c r="P762" s="70"/>
      <c r="Q762" s="70"/>
      <c r="R762" s="71"/>
      <c r="S762" s="72"/>
      <c r="U762" s="72"/>
      <c r="V762" s="72"/>
      <c r="W762" s="72"/>
      <c r="X762" s="72"/>
    </row>
    <row r="763" spans="4:24" ht="15.75" customHeight="1"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9"/>
      <c r="P763" s="70"/>
      <c r="Q763" s="70"/>
      <c r="R763" s="71"/>
      <c r="S763" s="72"/>
      <c r="U763" s="72"/>
      <c r="V763" s="72"/>
      <c r="W763" s="72"/>
      <c r="X763" s="72"/>
    </row>
    <row r="764" spans="4:24" ht="15.75" customHeight="1"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9"/>
      <c r="P764" s="70"/>
      <c r="Q764" s="70"/>
      <c r="R764" s="71"/>
      <c r="S764" s="72"/>
      <c r="U764" s="72"/>
      <c r="V764" s="72"/>
      <c r="W764" s="72"/>
      <c r="X764" s="72"/>
    </row>
    <row r="765" spans="4:24" ht="15.75" customHeight="1"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9"/>
      <c r="P765" s="70"/>
      <c r="Q765" s="70"/>
      <c r="R765" s="71"/>
      <c r="S765" s="72"/>
      <c r="U765" s="72"/>
      <c r="V765" s="72"/>
      <c r="W765" s="72"/>
      <c r="X765" s="72"/>
    </row>
    <row r="766" spans="4:24" ht="15.75" customHeight="1"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9"/>
      <c r="P766" s="70"/>
      <c r="Q766" s="70"/>
      <c r="R766" s="71"/>
      <c r="S766" s="72"/>
      <c r="U766" s="72"/>
      <c r="V766" s="72"/>
      <c r="W766" s="72"/>
      <c r="X766" s="72"/>
    </row>
    <row r="767" spans="4:24" ht="15.75" customHeight="1"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9"/>
      <c r="P767" s="70"/>
      <c r="Q767" s="70"/>
      <c r="R767" s="71"/>
      <c r="S767" s="72"/>
      <c r="U767" s="72"/>
      <c r="V767" s="72"/>
      <c r="W767" s="72"/>
      <c r="X767" s="72"/>
    </row>
    <row r="768" spans="4:24" ht="15.75" customHeight="1"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9"/>
      <c r="P768" s="70"/>
      <c r="Q768" s="70"/>
      <c r="R768" s="71"/>
      <c r="S768" s="72"/>
      <c r="U768" s="72"/>
      <c r="V768" s="72"/>
      <c r="W768" s="72"/>
      <c r="X768" s="72"/>
    </row>
    <row r="769" spans="4:24" ht="15.75" customHeight="1"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9"/>
      <c r="P769" s="70"/>
      <c r="Q769" s="70"/>
      <c r="R769" s="71"/>
      <c r="S769" s="72"/>
      <c r="U769" s="72"/>
      <c r="V769" s="72"/>
      <c r="W769" s="72"/>
      <c r="X769" s="72"/>
    </row>
    <row r="770" spans="4:24" ht="15.75" customHeight="1"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9"/>
      <c r="P770" s="70"/>
      <c r="Q770" s="70"/>
      <c r="R770" s="71"/>
      <c r="S770" s="72"/>
      <c r="U770" s="72"/>
      <c r="V770" s="72"/>
      <c r="W770" s="72"/>
      <c r="X770" s="72"/>
    </row>
    <row r="771" spans="4:24" ht="15.75" customHeight="1"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9"/>
      <c r="P771" s="70"/>
      <c r="Q771" s="70"/>
      <c r="R771" s="71"/>
      <c r="S771" s="72"/>
      <c r="U771" s="72"/>
      <c r="V771" s="72"/>
      <c r="W771" s="72"/>
      <c r="X771" s="72"/>
    </row>
    <row r="772" spans="4:24" ht="15.75" customHeight="1"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9"/>
      <c r="P772" s="70"/>
      <c r="Q772" s="70"/>
      <c r="R772" s="71"/>
      <c r="S772" s="72"/>
      <c r="U772" s="72"/>
      <c r="V772" s="72"/>
      <c r="W772" s="72"/>
      <c r="X772" s="72"/>
    </row>
    <row r="773" spans="4:24" ht="15.75" customHeight="1"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9"/>
      <c r="P773" s="70"/>
      <c r="Q773" s="70"/>
      <c r="R773" s="71"/>
      <c r="S773" s="72"/>
      <c r="U773" s="72"/>
      <c r="V773" s="72"/>
      <c r="W773" s="72"/>
      <c r="X773" s="72"/>
    </row>
    <row r="774" spans="4:24" ht="15.75" customHeight="1"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9"/>
      <c r="P774" s="70"/>
      <c r="Q774" s="70"/>
      <c r="R774" s="71"/>
      <c r="S774" s="72"/>
      <c r="U774" s="72"/>
      <c r="V774" s="72"/>
      <c r="W774" s="72"/>
      <c r="X774" s="72"/>
    </row>
    <row r="775" spans="4:24" ht="15.75" customHeight="1"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9"/>
      <c r="P775" s="70"/>
      <c r="Q775" s="70"/>
      <c r="R775" s="71"/>
      <c r="S775" s="72"/>
      <c r="U775" s="72"/>
      <c r="V775" s="72"/>
      <c r="W775" s="72"/>
      <c r="X775" s="72"/>
    </row>
    <row r="776" spans="4:24" ht="15.75" customHeight="1"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9"/>
      <c r="P776" s="70"/>
      <c r="Q776" s="70"/>
      <c r="R776" s="71"/>
      <c r="S776" s="72"/>
      <c r="U776" s="72"/>
      <c r="V776" s="72"/>
      <c r="W776" s="72"/>
      <c r="X776" s="72"/>
    </row>
    <row r="777" spans="4:24" ht="15.75" customHeight="1"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9"/>
      <c r="P777" s="70"/>
      <c r="Q777" s="70"/>
      <c r="R777" s="71"/>
      <c r="S777" s="72"/>
      <c r="U777" s="72"/>
      <c r="V777" s="72"/>
      <c r="W777" s="72"/>
      <c r="X777" s="72"/>
    </row>
    <row r="778" spans="4:24" ht="15.75" customHeight="1"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9"/>
      <c r="P778" s="70"/>
      <c r="Q778" s="70"/>
      <c r="R778" s="71"/>
      <c r="S778" s="72"/>
      <c r="U778" s="72"/>
      <c r="V778" s="72"/>
      <c r="W778" s="72"/>
      <c r="X778" s="72"/>
    </row>
    <row r="779" spans="4:24" ht="15.75" customHeight="1"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9"/>
      <c r="P779" s="70"/>
      <c r="Q779" s="70"/>
      <c r="R779" s="71"/>
      <c r="S779" s="72"/>
      <c r="U779" s="72"/>
      <c r="V779" s="72"/>
      <c r="W779" s="72"/>
      <c r="X779" s="72"/>
    </row>
    <row r="780" spans="4:24" ht="15.75" customHeight="1"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9"/>
      <c r="P780" s="70"/>
      <c r="Q780" s="70"/>
      <c r="R780" s="71"/>
      <c r="S780" s="72"/>
      <c r="U780" s="72"/>
      <c r="V780" s="72"/>
      <c r="W780" s="72"/>
      <c r="X780" s="72"/>
    </row>
    <row r="781" spans="4:24" ht="15.75" customHeight="1"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9"/>
      <c r="P781" s="70"/>
      <c r="Q781" s="70"/>
      <c r="R781" s="71"/>
      <c r="S781" s="72"/>
      <c r="U781" s="72"/>
      <c r="V781" s="72"/>
      <c r="W781" s="72"/>
      <c r="X781" s="72"/>
    </row>
    <row r="782" spans="4:24" ht="15.75" customHeight="1"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9"/>
      <c r="P782" s="70"/>
      <c r="Q782" s="70"/>
      <c r="R782" s="71"/>
      <c r="S782" s="72"/>
      <c r="U782" s="72"/>
      <c r="V782" s="72"/>
      <c r="W782" s="72"/>
      <c r="X782" s="72"/>
    </row>
    <row r="783" spans="4:24" ht="15.75" customHeight="1"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9"/>
      <c r="P783" s="70"/>
      <c r="Q783" s="70"/>
      <c r="R783" s="71"/>
      <c r="S783" s="72"/>
      <c r="U783" s="72"/>
      <c r="V783" s="72"/>
      <c r="W783" s="72"/>
      <c r="X783" s="72"/>
    </row>
    <row r="784" spans="4:24" ht="15.75" customHeight="1"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9"/>
      <c r="P784" s="70"/>
      <c r="Q784" s="70"/>
      <c r="R784" s="71"/>
      <c r="S784" s="72"/>
      <c r="U784" s="72"/>
      <c r="V784" s="72"/>
      <c r="W784" s="72"/>
      <c r="X784" s="72"/>
    </row>
    <row r="785" spans="4:24" ht="15.75" customHeight="1"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9"/>
      <c r="P785" s="70"/>
      <c r="Q785" s="70"/>
      <c r="R785" s="71"/>
      <c r="S785" s="72"/>
      <c r="U785" s="72"/>
      <c r="V785" s="72"/>
      <c r="W785" s="72"/>
      <c r="X785" s="72"/>
    </row>
    <row r="786" spans="4:24" ht="15.75" customHeight="1"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9"/>
      <c r="P786" s="70"/>
      <c r="Q786" s="70"/>
      <c r="R786" s="71"/>
      <c r="S786" s="72"/>
      <c r="U786" s="72"/>
      <c r="V786" s="72"/>
      <c r="W786" s="72"/>
      <c r="X786" s="72"/>
    </row>
    <row r="787" spans="4:24" ht="15.75" customHeight="1"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9"/>
      <c r="P787" s="70"/>
      <c r="Q787" s="70"/>
      <c r="R787" s="71"/>
      <c r="S787" s="72"/>
      <c r="U787" s="72"/>
      <c r="V787" s="72"/>
      <c r="W787" s="72"/>
      <c r="X787" s="72"/>
    </row>
    <row r="788" spans="4:24" ht="15.75" customHeight="1"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9"/>
      <c r="P788" s="70"/>
      <c r="Q788" s="70"/>
      <c r="R788" s="71"/>
      <c r="S788" s="72"/>
      <c r="U788" s="72"/>
      <c r="V788" s="72"/>
      <c r="W788" s="72"/>
      <c r="X788" s="72"/>
    </row>
    <row r="789" spans="4:24" ht="15.75" customHeight="1"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9"/>
      <c r="P789" s="70"/>
      <c r="Q789" s="70"/>
      <c r="R789" s="71"/>
      <c r="S789" s="72"/>
      <c r="U789" s="72"/>
      <c r="V789" s="72"/>
      <c r="W789" s="72"/>
      <c r="X789" s="72"/>
    </row>
    <row r="790" spans="4:24" ht="15.75" customHeight="1"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9"/>
      <c r="P790" s="70"/>
      <c r="Q790" s="70"/>
      <c r="R790" s="71"/>
      <c r="S790" s="72"/>
      <c r="U790" s="72"/>
      <c r="V790" s="72"/>
      <c r="W790" s="72"/>
      <c r="X790" s="72"/>
    </row>
    <row r="791" spans="4:24" ht="15.75" customHeight="1"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9"/>
      <c r="P791" s="70"/>
      <c r="Q791" s="70"/>
      <c r="R791" s="71"/>
      <c r="S791" s="72"/>
      <c r="U791" s="72"/>
      <c r="V791" s="72"/>
      <c r="W791" s="72"/>
      <c r="X791" s="72"/>
    </row>
    <row r="792" spans="4:24" ht="15.75" customHeight="1"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9"/>
      <c r="P792" s="70"/>
      <c r="Q792" s="70"/>
      <c r="R792" s="71"/>
      <c r="S792" s="72"/>
      <c r="U792" s="72"/>
      <c r="V792" s="72"/>
      <c r="W792" s="72"/>
      <c r="X792" s="72"/>
    </row>
    <row r="793" spans="4:24" ht="15.75" customHeight="1"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9"/>
      <c r="P793" s="70"/>
      <c r="Q793" s="70"/>
      <c r="R793" s="71"/>
      <c r="S793" s="72"/>
      <c r="U793" s="72"/>
      <c r="V793" s="72"/>
      <c r="W793" s="72"/>
      <c r="X793" s="72"/>
    </row>
    <row r="794" spans="4:24" ht="15.75" customHeight="1"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9"/>
      <c r="P794" s="70"/>
      <c r="Q794" s="70"/>
      <c r="R794" s="71"/>
      <c r="S794" s="72"/>
      <c r="U794" s="72"/>
      <c r="V794" s="72"/>
      <c r="W794" s="72"/>
      <c r="X794" s="72"/>
    </row>
    <row r="795" spans="4:24" ht="15.75" customHeight="1"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9"/>
      <c r="P795" s="70"/>
      <c r="Q795" s="70"/>
      <c r="R795" s="71"/>
      <c r="S795" s="72"/>
      <c r="U795" s="72"/>
      <c r="V795" s="72"/>
      <c r="W795" s="72"/>
      <c r="X795" s="72"/>
    </row>
    <row r="796" spans="4:24" ht="15.75" customHeight="1"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9"/>
      <c r="P796" s="70"/>
      <c r="Q796" s="70"/>
      <c r="R796" s="71"/>
      <c r="S796" s="72"/>
      <c r="U796" s="72"/>
      <c r="V796" s="72"/>
      <c r="W796" s="72"/>
      <c r="X796" s="72"/>
    </row>
    <row r="797" spans="4:24" ht="15.75" customHeight="1"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9"/>
      <c r="P797" s="70"/>
      <c r="Q797" s="70"/>
      <c r="R797" s="71"/>
      <c r="S797" s="72"/>
      <c r="U797" s="72"/>
      <c r="V797" s="72"/>
      <c r="W797" s="72"/>
      <c r="X797" s="72"/>
    </row>
    <row r="798" spans="4:24" ht="15.75" customHeight="1"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9"/>
      <c r="P798" s="70"/>
      <c r="Q798" s="70"/>
      <c r="R798" s="71"/>
      <c r="S798" s="72"/>
      <c r="U798" s="72"/>
      <c r="V798" s="72"/>
      <c r="W798" s="72"/>
      <c r="X798" s="72"/>
    </row>
    <row r="799" spans="4:24" ht="15.75" customHeight="1"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9"/>
      <c r="P799" s="70"/>
      <c r="Q799" s="70"/>
      <c r="R799" s="71"/>
      <c r="S799" s="72"/>
      <c r="U799" s="72"/>
      <c r="V799" s="72"/>
      <c r="W799" s="72"/>
      <c r="X799" s="72"/>
    </row>
    <row r="800" spans="4:24" ht="15.75" customHeight="1"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9"/>
      <c r="P800" s="70"/>
      <c r="Q800" s="70"/>
      <c r="R800" s="71"/>
      <c r="S800" s="72"/>
      <c r="U800" s="72"/>
      <c r="V800" s="72"/>
      <c r="W800" s="72"/>
      <c r="X800" s="72"/>
    </row>
    <row r="801" spans="4:24" ht="15.75" customHeight="1"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9"/>
      <c r="P801" s="70"/>
      <c r="Q801" s="70"/>
      <c r="R801" s="71"/>
      <c r="S801" s="72"/>
      <c r="U801" s="72"/>
      <c r="V801" s="72"/>
      <c r="W801" s="72"/>
      <c r="X801" s="72"/>
    </row>
    <row r="802" spans="4:24" ht="15.75" customHeight="1"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9"/>
      <c r="P802" s="70"/>
      <c r="Q802" s="70"/>
      <c r="R802" s="71"/>
      <c r="S802" s="72"/>
      <c r="U802" s="72"/>
      <c r="V802" s="72"/>
      <c r="W802" s="72"/>
      <c r="X802" s="72"/>
    </row>
    <row r="803" spans="4:24" ht="15.75" customHeight="1"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9"/>
      <c r="P803" s="70"/>
      <c r="Q803" s="70"/>
      <c r="R803" s="71"/>
      <c r="S803" s="72"/>
      <c r="U803" s="72"/>
      <c r="V803" s="72"/>
      <c r="W803" s="72"/>
      <c r="X803" s="72"/>
    </row>
    <row r="804" spans="4:24" ht="15.75" customHeight="1"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9"/>
      <c r="P804" s="70"/>
      <c r="Q804" s="70"/>
      <c r="R804" s="71"/>
      <c r="S804" s="72"/>
      <c r="U804" s="72"/>
      <c r="V804" s="72"/>
      <c r="W804" s="72"/>
      <c r="X804" s="72"/>
    </row>
    <row r="805" spans="4:24" ht="15.75" customHeight="1"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9"/>
      <c r="P805" s="70"/>
      <c r="Q805" s="70"/>
      <c r="R805" s="71"/>
      <c r="S805" s="72"/>
      <c r="U805" s="72"/>
      <c r="V805" s="72"/>
      <c r="W805" s="72"/>
      <c r="X805" s="72"/>
    </row>
    <row r="806" spans="4:24" ht="15.75" customHeight="1"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9"/>
      <c r="P806" s="70"/>
      <c r="Q806" s="70"/>
      <c r="R806" s="71"/>
      <c r="S806" s="72"/>
      <c r="U806" s="72"/>
      <c r="V806" s="72"/>
      <c r="W806" s="72"/>
      <c r="X806" s="72"/>
    </row>
    <row r="807" spans="4:24" ht="15.75" customHeight="1"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9"/>
      <c r="P807" s="70"/>
      <c r="Q807" s="70"/>
      <c r="R807" s="71"/>
      <c r="S807" s="72"/>
      <c r="U807" s="72"/>
      <c r="V807" s="72"/>
      <c r="W807" s="72"/>
      <c r="X807" s="72"/>
    </row>
    <row r="808" spans="4:24" ht="15.75" customHeight="1"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9"/>
      <c r="P808" s="70"/>
      <c r="Q808" s="70"/>
      <c r="R808" s="71"/>
      <c r="S808" s="72"/>
      <c r="U808" s="72"/>
      <c r="V808" s="72"/>
      <c r="W808" s="72"/>
      <c r="X808" s="72"/>
    </row>
    <row r="809" spans="4:24" ht="15.75" customHeight="1"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9"/>
      <c r="P809" s="70"/>
      <c r="Q809" s="70"/>
      <c r="R809" s="71"/>
      <c r="S809" s="72"/>
      <c r="U809" s="72"/>
      <c r="V809" s="72"/>
      <c r="W809" s="72"/>
      <c r="X809" s="72"/>
    </row>
    <row r="810" spans="4:24" ht="15.75" customHeight="1"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9"/>
      <c r="P810" s="70"/>
      <c r="Q810" s="70"/>
      <c r="R810" s="71"/>
      <c r="S810" s="72"/>
      <c r="U810" s="72"/>
      <c r="V810" s="72"/>
      <c r="W810" s="72"/>
      <c r="X810" s="72"/>
    </row>
    <row r="811" spans="4:24" ht="15.75" customHeight="1"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9"/>
      <c r="P811" s="70"/>
      <c r="Q811" s="70"/>
      <c r="R811" s="71"/>
      <c r="S811" s="72"/>
      <c r="U811" s="72"/>
      <c r="V811" s="72"/>
      <c r="W811" s="72"/>
      <c r="X811" s="72"/>
    </row>
    <row r="812" spans="4:24" ht="15.75" customHeight="1"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9"/>
      <c r="P812" s="70"/>
      <c r="Q812" s="70"/>
      <c r="R812" s="71"/>
      <c r="S812" s="72"/>
      <c r="U812" s="72"/>
      <c r="V812" s="72"/>
      <c r="W812" s="72"/>
      <c r="X812" s="72"/>
    </row>
    <row r="813" spans="4:24" ht="15.75" customHeight="1"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9"/>
      <c r="P813" s="70"/>
      <c r="Q813" s="70"/>
      <c r="R813" s="71"/>
      <c r="S813" s="72"/>
      <c r="U813" s="72"/>
      <c r="V813" s="72"/>
      <c r="W813" s="72"/>
      <c r="X813" s="72"/>
    </row>
    <row r="814" spans="4:24" ht="15.75" customHeight="1"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9"/>
      <c r="P814" s="70"/>
      <c r="Q814" s="70"/>
      <c r="R814" s="71"/>
      <c r="S814" s="72"/>
      <c r="U814" s="72"/>
      <c r="V814" s="72"/>
      <c r="W814" s="72"/>
      <c r="X814" s="72"/>
    </row>
    <row r="815" spans="4:24" ht="15.75" customHeight="1"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9"/>
      <c r="P815" s="70"/>
      <c r="Q815" s="70"/>
      <c r="R815" s="71"/>
      <c r="S815" s="72"/>
      <c r="U815" s="72"/>
      <c r="V815" s="72"/>
      <c r="W815" s="72"/>
      <c r="X815" s="72"/>
    </row>
    <row r="816" spans="4:24" ht="15.75" customHeight="1"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9"/>
      <c r="P816" s="70"/>
      <c r="Q816" s="70"/>
      <c r="R816" s="71"/>
      <c r="S816" s="72"/>
      <c r="U816" s="72"/>
      <c r="V816" s="72"/>
      <c r="W816" s="72"/>
      <c r="X816" s="72"/>
    </row>
    <row r="817" spans="4:24" ht="15.75" customHeight="1"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9"/>
      <c r="P817" s="70"/>
      <c r="Q817" s="70"/>
      <c r="R817" s="71"/>
      <c r="S817" s="72"/>
      <c r="U817" s="72"/>
      <c r="V817" s="72"/>
      <c r="W817" s="72"/>
      <c r="X817" s="72"/>
    </row>
    <row r="818" spans="4:24" ht="15.75" customHeight="1"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9"/>
      <c r="P818" s="70"/>
      <c r="Q818" s="70"/>
      <c r="R818" s="71"/>
      <c r="S818" s="72"/>
      <c r="U818" s="72"/>
      <c r="V818" s="72"/>
      <c r="W818" s="72"/>
      <c r="X818" s="72"/>
    </row>
    <row r="819" spans="4:24" ht="15.75" customHeight="1"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9"/>
      <c r="P819" s="70"/>
      <c r="Q819" s="70"/>
      <c r="R819" s="71"/>
      <c r="S819" s="72"/>
      <c r="U819" s="72"/>
      <c r="V819" s="72"/>
      <c r="W819" s="72"/>
      <c r="X819" s="72"/>
    </row>
    <row r="820" spans="4:24" ht="15.75" customHeight="1"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9"/>
      <c r="P820" s="70"/>
      <c r="Q820" s="70"/>
      <c r="R820" s="71"/>
      <c r="S820" s="72"/>
      <c r="U820" s="72"/>
      <c r="V820" s="72"/>
      <c r="W820" s="72"/>
      <c r="X820" s="72"/>
    </row>
    <row r="821" spans="4:24" ht="15.75" customHeight="1"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9"/>
      <c r="P821" s="70"/>
      <c r="Q821" s="70"/>
      <c r="R821" s="71"/>
      <c r="S821" s="72"/>
      <c r="U821" s="72"/>
      <c r="V821" s="72"/>
      <c r="W821" s="72"/>
      <c r="X821" s="72"/>
    </row>
    <row r="822" spans="4:24" ht="15.75" customHeight="1"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9"/>
      <c r="P822" s="70"/>
      <c r="Q822" s="70"/>
      <c r="R822" s="71"/>
      <c r="S822" s="72"/>
      <c r="U822" s="72"/>
      <c r="V822" s="72"/>
      <c r="W822" s="72"/>
      <c r="X822" s="72"/>
    </row>
    <row r="823" spans="4:24" ht="15.75" customHeight="1"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9"/>
      <c r="P823" s="70"/>
      <c r="Q823" s="70"/>
      <c r="R823" s="71"/>
      <c r="S823" s="72"/>
      <c r="U823" s="72"/>
      <c r="V823" s="72"/>
      <c r="W823" s="72"/>
      <c r="X823" s="72"/>
    </row>
    <row r="824" spans="4:24" ht="15.75" customHeight="1"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9"/>
      <c r="P824" s="70"/>
      <c r="Q824" s="70"/>
      <c r="R824" s="71"/>
      <c r="S824" s="72"/>
      <c r="U824" s="72"/>
      <c r="V824" s="72"/>
      <c r="W824" s="72"/>
      <c r="X824" s="72"/>
    </row>
    <row r="825" spans="4:24" ht="15.75" customHeight="1"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9"/>
      <c r="P825" s="70"/>
      <c r="Q825" s="70"/>
      <c r="R825" s="71"/>
      <c r="S825" s="72"/>
      <c r="U825" s="72"/>
      <c r="V825" s="72"/>
      <c r="W825" s="72"/>
      <c r="X825" s="72"/>
    </row>
    <row r="826" spans="4:24" ht="15.75" customHeight="1"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9"/>
      <c r="P826" s="70"/>
      <c r="Q826" s="70"/>
      <c r="R826" s="71"/>
      <c r="S826" s="72"/>
      <c r="U826" s="72"/>
      <c r="V826" s="72"/>
      <c r="W826" s="72"/>
      <c r="X826" s="72"/>
    </row>
    <row r="827" spans="4:24" ht="15.75" customHeight="1"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9"/>
      <c r="P827" s="70"/>
      <c r="Q827" s="70"/>
      <c r="R827" s="71"/>
      <c r="S827" s="72"/>
      <c r="U827" s="72"/>
      <c r="V827" s="72"/>
      <c r="W827" s="72"/>
      <c r="X827" s="72"/>
    </row>
    <row r="828" spans="4:24" ht="15.75" customHeight="1"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9"/>
      <c r="P828" s="70"/>
      <c r="Q828" s="70"/>
      <c r="R828" s="71"/>
      <c r="S828" s="72"/>
      <c r="U828" s="72"/>
      <c r="V828" s="72"/>
      <c r="W828" s="72"/>
      <c r="X828" s="72"/>
    </row>
    <row r="829" spans="4:24" ht="15.75" customHeight="1"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9"/>
      <c r="P829" s="70"/>
      <c r="Q829" s="70"/>
      <c r="R829" s="71"/>
      <c r="S829" s="72"/>
      <c r="U829" s="72"/>
      <c r="V829" s="72"/>
      <c r="W829" s="72"/>
      <c r="X829" s="72"/>
    </row>
    <row r="830" spans="4:24" ht="15.75" customHeight="1"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9"/>
      <c r="P830" s="70"/>
      <c r="Q830" s="70"/>
      <c r="R830" s="71"/>
      <c r="S830" s="72"/>
      <c r="U830" s="72"/>
      <c r="V830" s="72"/>
      <c r="W830" s="72"/>
      <c r="X830" s="72"/>
    </row>
    <row r="831" spans="4:24" ht="15.75" customHeight="1"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9"/>
      <c r="P831" s="70"/>
      <c r="Q831" s="70"/>
      <c r="R831" s="71"/>
      <c r="S831" s="72"/>
      <c r="U831" s="72"/>
      <c r="V831" s="72"/>
      <c r="W831" s="72"/>
      <c r="X831" s="72"/>
    </row>
    <row r="832" spans="4:24" ht="15.75" customHeight="1"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9"/>
      <c r="P832" s="70"/>
      <c r="Q832" s="70"/>
      <c r="R832" s="71"/>
      <c r="S832" s="72"/>
      <c r="U832" s="72"/>
      <c r="V832" s="72"/>
      <c r="W832" s="72"/>
      <c r="X832" s="72"/>
    </row>
    <row r="833" spans="4:24" ht="15.75" customHeight="1"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9"/>
      <c r="P833" s="70"/>
      <c r="Q833" s="70"/>
      <c r="R833" s="71"/>
      <c r="S833" s="72"/>
      <c r="U833" s="72"/>
      <c r="V833" s="72"/>
      <c r="W833" s="72"/>
      <c r="X833" s="72"/>
    </row>
    <row r="834" spans="4:24" ht="15.75" customHeight="1"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9"/>
      <c r="P834" s="70"/>
      <c r="Q834" s="70"/>
      <c r="R834" s="71"/>
      <c r="S834" s="72"/>
      <c r="U834" s="72"/>
      <c r="V834" s="72"/>
      <c r="W834" s="72"/>
      <c r="X834" s="72"/>
    </row>
    <row r="835" spans="4:24" ht="15.75" customHeight="1"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9"/>
      <c r="P835" s="70"/>
      <c r="Q835" s="70"/>
      <c r="R835" s="71"/>
      <c r="S835" s="72"/>
      <c r="U835" s="72"/>
      <c r="V835" s="72"/>
      <c r="W835" s="72"/>
      <c r="X835" s="72"/>
    </row>
    <row r="836" spans="4:24" ht="15.75" customHeight="1"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9"/>
      <c r="P836" s="70"/>
      <c r="Q836" s="70"/>
      <c r="R836" s="71"/>
      <c r="S836" s="72"/>
      <c r="U836" s="72"/>
      <c r="V836" s="72"/>
      <c r="W836" s="72"/>
      <c r="X836" s="72"/>
    </row>
    <row r="837" spans="4:24" ht="15.75" customHeight="1"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9"/>
      <c r="P837" s="70"/>
      <c r="Q837" s="70"/>
      <c r="R837" s="71"/>
      <c r="S837" s="72"/>
      <c r="U837" s="72"/>
      <c r="V837" s="72"/>
      <c r="W837" s="72"/>
      <c r="X837" s="72"/>
    </row>
    <row r="838" spans="4:24" ht="15.75" customHeight="1"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9"/>
      <c r="P838" s="70"/>
      <c r="Q838" s="70"/>
      <c r="R838" s="71"/>
      <c r="S838" s="72"/>
      <c r="U838" s="72"/>
      <c r="V838" s="72"/>
      <c r="W838" s="72"/>
      <c r="X838" s="72"/>
    </row>
    <row r="839" spans="4:24" ht="15.75" customHeight="1"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9"/>
      <c r="P839" s="70"/>
      <c r="Q839" s="70"/>
      <c r="R839" s="71"/>
      <c r="S839" s="72"/>
      <c r="U839" s="72"/>
      <c r="V839" s="72"/>
      <c r="W839" s="72"/>
      <c r="X839" s="72"/>
    </row>
    <row r="840" spans="4:24" ht="15.75" customHeight="1"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9"/>
      <c r="P840" s="70"/>
      <c r="Q840" s="70"/>
      <c r="R840" s="71"/>
      <c r="S840" s="72"/>
      <c r="U840" s="72"/>
      <c r="V840" s="72"/>
      <c r="W840" s="72"/>
      <c r="X840" s="72"/>
    </row>
    <row r="841" spans="4:24" ht="15.75" customHeight="1"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9"/>
      <c r="P841" s="70"/>
      <c r="Q841" s="70"/>
      <c r="R841" s="71"/>
      <c r="S841" s="72"/>
      <c r="U841" s="72"/>
      <c r="V841" s="72"/>
      <c r="W841" s="72"/>
      <c r="X841" s="72"/>
    </row>
    <row r="842" spans="4:24" ht="15.75" customHeight="1"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9"/>
      <c r="P842" s="70"/>
      <c r="Q842" s="70"/>
      <c r="R842" s="71"/>
      <c r="S842" s="72"/>
      <c r="U842" s="72"/>
      <c r="V842" s="72"/>
      <c r="W842" s="72"/>
      <c r="X842" s="72"/>
    </row>
    <row r="843" spans="4:24" ht="15.75" customHeight="1"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9"/>
      <c r="P843" s="70"/>
      <c r="Q843" s="70"/>
      <c r="R843" s="71"/>
      <c r="S843" s="72"/>
      <c r="U843" s="72"/>
      <c r="V843" s="72"/>
      <c r="W843" s="72"/>
      <c r="X843" s="72"/>
    </row>
    <row r="844" spans="4:24" ht="15.75" customHeight="1"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9"/>
      <c r="P844" s="70"/>
      <c r="Q844" s="70"/>
      <c r="R844" s="71"/>
      <c r="S844" s="72"/>
      <c r="U844" s="72"/>
      <c r="V844" s="72"/>
      <c r="W844" s="72"/>
      <c r="X844" s="72"/>
    </row>
    <row r="845" spans="4:24" ht="15.75" customHeight="1"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9"/>
      <c r="P845" s="70"/>
      <c r="Q845" s="70"/>
      <c r="R845" s="71"/>
      <c r="S845" s="72"/>
      <c r="U845" s="72"/>
      <c r="V845" s="72"/>
      <c r="W845" s="72"/>
      <c r="X845" s="72"/>
    </row>
    <row r="846" spans="4:24" ht="15.75" customHeight="1"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9"/>
      <c r="P846" s="70"/>
      <c r="Q846" s="70"/>
      <c r="R846" s="71"/>
      <c r="S846" s="72"/>
      <c r="U846" s="72"/>
      <c r="V846" s="72"/>
      <c r="W846" s="72"/>
      <c r="X846" s="72"/>
    </row>
    <row r="847" spans="4:24" ht="15.75" customHeight="1"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9"/>
      <c r="P847" s="70"/>
      <c r="Q847" s="70"/>
      <c r="R847" s="71"/>
      <c r="S847" s="72"/>
      <c r="U847" s="72"/>
      <c r="V847" s="72"/>
      <c r="W847" s="72"/>
      <c r="X847" s="72"/>
    </row>
    <row r="848" spans="4:24" ht="15.75" customHeight="1"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9"/>
      <c r="P848" s="70"/>
      <c r="Q848" s="70"/>
      <c r="R848" s="71"/>
      <c r="S848" s="72"/>
      <c r="U848" s="72"/>
      <c r="V848" s="72"/>
      <c r="W848" s="72"/>
      <c r="X848" s="72"/>
    </row>
    <row r="849" spans="4:24" ht="15.75" customHeight="1"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9"/>
      <c r="P849" s="70"/>
      <c r="Q849" s="70"/>
      <c r="R849" s="71"/>
      <c r="S849" s="72"/>
      <c r="U849" s="72"/>
      <c r="V849" s="72"/>
      <c r="W849" s="72"/>
      <c r="X849" s="72"/>
    </row>
    <row r="850" spans="4:24" ht="15.75" customHeight="1"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9"/>
      <c r="P850" s="70"/>
      <c r="Q850" s="70"/>
      <c r="R850" s="71"/>
      <c r="S850" s="72"/>
      <c r="U850" s="72"/>
      <c r="V850" s="72"/>
      <c r="W850" s="72"/>
      <c r="X850" s="72"/>
    </row>
    <row r="851" spans="4:24" ht="15.75" customHeight="1"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9"/>
      <c r="P851" s="70"/>
      <c r="Q851" s="70"/>
      <c r="R851" s="71"/>
      <c r="S851" s="72"/>
      <c r="U851" s="72"/>
      <c r="V851" s="72"/>
      <c r="W851" s="72"/>
      <c r="X851" s="72"/>
    </row>
    <row r="852" spans="4:24" ht="15.75" customHeight="1"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9"/>
      <c r="P852" s="70"/>
      <c r="Q852" s="70"/>
      <c r="R852" s="71"/>
      <c r="S852" s="72"/>
      <c r="U852" s="72"/>
      <c r="V852" s="72"/>
      <c r="W852" s="72"/>
      <c r="X852" s="72"/>
    </row>
    <row r="853" spans="4:24" ht="15.75" customHeight="1"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9"/>
      <c r="P853" s="70"/>
      <c r="Q853" s="70"/>
      <c r="R853" s="71"/>
      <c r="S853" s="72"/>
      <c r="U853" s="72"/>
      <c r="V853" s="72"/>
      <c r="W853" s="72"/>
      <c r="X853" s="72"/>
    </row>
    <row r="854" spans="4:24" ht="15.75" customHeight="1"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9"/>
      <c r="P854" s="70"/>
      <c r="Q854" s="70"/>
      <c r="R854" s="71"/>
      <c r="S854" s="72"/>
      <c r="U854" s="72"/>
      <c r="V854" s="72"/>
      <c r="W854" s="72"/>
      <c r="X854" s="72"/>
    </row>
    <row r="855" spans="4:24" ht="15.75" customHeight="1"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9"/>
      <c r="P855" s="70"/>
      <c r="Q855" s="70"/>
      <c r="R855" s="71"/>
      <c r="S855" s="72"/>
      <c r="U855" s="72"/>
      <c r="V855" s="72"/>
      <c r="W855" s="72"/>
      <c r="X855" s="72"/>
    </row>
    <row r="856" spans="4:24" ht="15.75" customHeight="1"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9"/>
      <c r="P856" s="70"/>
      <c r="Q856" s="70"/>
      <c r="R856" s="71"/>
      <c r="S856" s="72"/>
      <c r="U856" s="72"/>
      <c r="V856" s="72"/>
      <c r="W856" s="72"/>
      <c r="X856" s="72"/>
    </row>
    <row r="857" spans="4:24" ht="15.75" customHeight="1"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9"/>
      <c r="P857" s="70"/>
      <c r="Q857" s="70"/>
      <c r="R857" s="71"/>
      <c r="S857" s="72"/>
      <c r="U857" s="72"/>
      <c r="V857" s="72"/>
      <c r="W857" s="72"/>
      <c r="X857" s="72"/>
    </row>
    <row r="858" spans="4:24" ht="15.75" customHeight="1"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9"/>
      <c r="P858" s="70"/>
      <c r="Q858" s="70"/>
      <c r="R858" s="71"/>
      <c r="S858" s="72"/>
      <c r="U858" s="72"/>
      <c r="V858" s="72"/>
      <c r="W858" s="72"/>
      <c r="X858" s="72"/>
    </row>
    <row r="859" spans="4:24" ht="15.75" customHeight="1"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9"/>
      <c r="P859" s="70"/>
      <c r="Q859" s="70"/>
      <c r="R859" s="71"/>
      <c r="S859" s="72"/>
      <c r="U859" s="72"/>
      <c r="V859" s="72"/>
      <c r="W859" s="72"/>
      <c r="X859" s="72"/>
    </row>
    <row r="860" spans="4:24" ht="15.75" customHeight="1"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9"/>
      <c r="P860" s="70"/>
      <c r="Q860" s="70"/>
      <c r="R860" s="71"/>
      <c r="S860" s="72"/>
      <c r="U860" s="72"/>
      <c r="V860" s="72"/>
      <c r="W860" s="72"/>
      <c r="X860" s="72"/>
    </row>
    <row r="861" spans="4:24" ht="15.75" customHeight="1"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9"/>
      <c r="P861" s="70"/>
      <c r="Q861" s="70"/>
      <c r="R861" s="71"/>
      <c r="S861" s="72"/>
      <c r="U861" s="72"/>
      <c r="V861" s="72"/>
      <c r="W861" s="72"/>
      <c r="X861" s="72"/>
    </row>
    <row r="862" spans="4:24" ht="15.75" customHeight="1"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9"/>
      <c r="P862" s="70"/>
      <c r="Q862" s="70"/>
      <c r="R862" s="71"/>
      <c r="S862" s="72"/>
      <c r="U862" s="72"/>
      <c r="V862" s="72"/>
      <c r="W862" s="72"/>
      <c r="X862" s="72"/>
    </row>
    <row r="863" spans="4:24" ht="15.75" customHeight="1"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9"/>
      <c r="P863" s="70"/>
      <c r="Q863" s="70"/>
      <c r="R863" s="71"/>
      <c r="S863" s="72"/>
      <c r="U863" s="72"/>
      <c r="V863" s="72"/>
      <c r="W863" s="72"/>
      <c r="X863" s="72"/>
    </row>
    <row r="864" spans="4:24" ht="15.75" customHeight="1"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9"/>
      <c r="P864" s="70"/>
      <c r="Q864" s="70"/>
      <c r="R864" s="71"/>
      <c r="S864" s="72"/>
      <c r="U864" s="72"/>
      <c r="V864" s="72"/>
      <c r="W864" s="72"/>
      <c r="X864" s="72"/>
    </row>
    <row r="865" spans="4:24" ht="15.75" customHeight="1"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9"/>
      <c r="P865" s="70"/>
      <c r="Q865" s="70"/>
      <c r="R865" s="71"/>
      <c r="S865" s="72"/>
      <c r="U865" s="72"/>
      <c r="V865" s="72"/>
      <c r="W865" s="72"/>
      <c r="X865" s="72"/>
    </row>
    <row r="866" spans="4:24" ht="15.75" customHeight="1"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9"/>
      <c r="P866" s="70"/>
      <c r="Q866" s="70"/>
      <c r="R866" s="71"/>
      <c r="S866" s="72"/>
      <c r="U866" s="72"/>
      <c r="V866" s="72"/>
      <c r="W866" s="72"/>
      <c r="X866" s="72"/>
    </row>
    <row r="867" spans="4:24" ht="15.75" customHeight="1"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9"/>
      <c r="P867" s="70"/>
      <c r="Q867" s="70"/>
      <c r="R867" s="71"/>
      <c r="S867" s="72"/>
      <c r="U867" s="72"/>
      <c r="V867" s="72"/>
      <c r="W867" s="72"/>
      <c r="X867" s="72"/>
    </row>
    <row r="868" spans="4:24" ht="15.75" customHeight="1"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9"/>
      <c r="P868" s="70"/>
      <c r="Q868" s="70"/>
      <c r="R868" s="71"/>
      <c r="S868" s="72"/>
      <c r="U868" s="72"/>
      <c r="V868" s="72"/>
      <c r="W868" s="72"/>
      <c r="X868" s="72"/>
    </row>
    <row r="869" spans="4:24" ht="15.75" customHeight="1"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9"/>
      <c r="P869" s="70"/>
      <c r="Q869" s="70"/>
      <c r="R869" s="71"/>
      <c r="S869" s="72"/>
      <c r="U869" s="72"/>
      <c r="V869" s="72"/>
      <c r="W869" s="72"/>
      <c r="X869" s="72"/>
    </row>
    <row r="870" spans="4:24" ht="15.75" customHeight="1"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9"/>
      <c r="P870" s="70"/>
      <c r="Q870" s="70"/>
      <c r="R870" s="71"/>
      <c r="S870" s="72"/>
      <c r="U870" s="72"/>
      <c r="V870" s="72"/>
      <c r="W870" s="72"/>
      <c r="X870" s="72"/>
    </row>
    <row r="871" spans="4:24" ht="15.75" customHeight="1"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9"/>
      <c r="P871" s="70"/>
      <c r="Q871" s="70"/>
      <c r="R871" s="71"/>
      <c r="S871" s="72"/>
      <c r="U871" s="72"/>
      <c r="V871" s="72"/>
      <c r="W871" s="72"/>
      <c r="X871" s="72"/>
    </row>
    <row r="872" spans="4:24" ht="15.75" customHeight="1"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9"/>
      <c r="P872" s="70"/>
      <c r="Q872" s="70"/>
      <c r="R872" s="71"/>
      <c r="S872" s="72"/>
      <c r="U872" s="72"/>
      <c r="V872" s="72"/>
      <c r="W872" s="72"/>
      <c r="X872" s="72"/>
    </row>
    <row r="873" spans="4:24" ht="15.75" customHeight="1"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9"/>
      <c r="P873" s="70"/>
      <c r="Q873" s="70"/>
      <c r="R873" s="71"/>
      <c r="S873" s="72"/>
      <c r="U873" s="72"/>
      <c r="V873" s="72"/>
      <c r="W873" s="72"/>
      <c r="X873" s="72"/>
    </row>
    <row r="874" spans="4:24" ht="15.75" customHeight="1"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9"/>
      <c r="P874" s="70"/>
      <c r="Q874" s="70"/>
      <c r="R874" s="71"/>
      <c r="S874" s="72"/>
      <c r="U874" s="72"/>
      <c r="V874" s="72"/>
      <c r="W874" s="72"/>
      <c r="X874" s="72"/>
    </row>
    <row r="875" spans="4:24" ht="15.75" customHeight="1"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9"/>
      <c r="P875" s="70"/>
      <c r="Q875" s="70"/>
      <c r="R875" s="71"/>
      <c r="S875" s="72"/>
      <c r="U875" s="72"/>
      <c r="V875" s="72"/>
      <c r="W875" s="72"/>
      <c r="X875" s="72"/>
    </row>
    <row r="876" spans="4:24" ht="15.75" customHeight="1"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9"/>
      <c r="P876" s="70"/>
      <c r="Q876" s="70"/>
      <c r="R876" s="71"/>
      <c r="S876" s="72"/>
      <c r="U876" s="72"/>
      <c r="V876" s="72"/>
      <c r="W876" s="72"/>
      <c r="X876" s="72"/>
    </row>
    <row r="877" spans="4:24" ht="15.75" customHeight="1"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9"/>
      <c r="P877" s="70"/>
      <c r="Q877" s="70"/>
      <c r="R877" s="71"/>
      <c r="S877" s="72"/>
      <c r="U877" s="72"/>
      <c r="V877" s="72"/>
      <c r="W877" s="72"/>
      <c r="X877" s="72"/>
    </row>
    <row r="878" spans="4:24" ht="15.75" customHeight="1"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9"/>
      <c r="P878" s="70"/>
      <c r="Q878" s="70"/>
      <c r="R878" s="71"/>
      <c r="S878" s="72"/>
      <c r="U878" s="72"/>
      <c r="V878" s="72"/>
      <c r="W878" s="72"/>
      <c r="X878" s="72"/>
    </row>
    <row r="879" spans="4:24" ht="15.75" customHeight="1"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9"/>
      <c r="P879" s="70"/>
      <c r="Q879" s="70"/>
      <c r="R879" s="71"/>
      <c r="S879" s="72"/>
      <c r="U879" s="72"/>
      <c r="V879" s="72"/>
      <c r="W879" s="72"/>
      <c r="X879" s="72"/>
    </row>
    <row r="880" spans="4:24" ht="15.75" customHeight="1"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9"/>
      <c r="P880" s="70"/>
      <c r="Q880" s="70"/>
      <c r="R880" s="71"/>
      <c r="S880" s="72"/>
      <c r="U880" s="72"/>
      <c r="V880" s="72"/>
      <c r="W880" s="72"/>
      <c r="X880" s="72"/>
    </row>
    <row r="881" spans="4:24" ht="15.75" customHeight="1"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9"/>
      <c r="P881" s="70"/>
      <c r="Q881" s="70"/>
      <c r="R881" s="71"/>
      <c r="S881" s="72"/>
      <c r="U881" s="72"/>
      <c r="V881" s="72"/>
      <c r="W881" s="72"/>
      <c r="X881" s="72"/>
    </row>
    <row r="882" spans="4:24" ht="15.75" customHeight="1"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9"/>
      <c r="P882" s="70"/>
      <c r="Q882" s="70"/>
      <c r="R882" s="71"/>
      <c r="S882" s="72"/>
      <c r="U882" s="72"/>
      <c r="V882" s="72"/>
      <c r="W882" s="72"/>
      <c r="X882" s="72"/>
    </row>
    <row r="883" spans="4:24" ht="15.75" customHeight="1"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9"/>
      <c r="P883" s="70"/>
      <c r="Q883" s="70"/>
      <c r="R883" s="71"/>
      <c r="S883" s="72"/>
      <c r="U883" s="72"/>
      <c r="V883" s="72"/>
      <c r="W883" s="72"/>
      <c r="X883" s="72"/>
    </row>
    <row r="884" spans="4:24" ht="15.75" customHeight="1"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9"/>
      <c r="P884" s="70"/>
      <c r="Q884" s="70"/>
      <c r="R884" s="71"/>
      <c r="S884" s="72"/>
      <c r="U884" s="72"/>
      <c r="V884" s="72"/>
      <c r="W884" s="72"/>
      <c r="X884" s="72"/>
    </row>
    <row r="885" spans="4:24" ht="15.75" customHeight="1"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9"/>
      <c r="P885" s="70"/>
      <c r="Q885" s="70"/>
      <c r="R885" s="71"/>
      <c r="S885" s="72"/>
      <c r="U885" s="72"/>
      <c r="V885" s="72"/>
      <c r="W885" s="72"/>
      <c r="X885" s="72"/>
    </row>
    <row r="886" spans="4:24" ht="15.75" customHeight="1"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9"/>
      <c r="P886" s="70"/>
      <c r="Q886" s="70"/>
      <c r="R886" s="71"/>
      <c r="S886" s="72"/>
      <c r="U886" s="72"/>
      <c r="V886" s="72"/>
      <c r="W886" s="72"/>
      <c r="X886" s="72"/>
    </row>
    <row r="887" spans="4:24" ht="15.75" customHeight="1"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9"/>
      <c r="P887" s="70"/>
      <c r="Q887" s="70"/>
      <c r="R887" s="71"/>
      <c r="S887" s="72"/>
      <c r="U887" s="72"/>
      <c r="V887" s="72"/>
      <c r="W887" s="72"/>
      <c r="X887" s="72"/>
    </row>
    <row r="888" spans="4:24" ht="15.75" customHeight="1"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9"/>
      <c r="P888" s="70"/>
      <c r="Q888" s="70"/>
      <c r="R888" s="71"/>
      <c r="S888" s="72"/>
      <c r="U888" s="72"/>
      <c r="V888" s="72"/>
      <c r="W888" s="72"/>
      <c r="X888" s="72"/>
    </row>
    <row r="889" spans="4:24" ht="15.75" customHeight="1"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9"/>
      <c r="P889" s="70"/>
      <c r="Q889" s="70"/>
      <c r="R889" s="71"/>
      <c r="S889" s="72"/>
      <c r="U889" s="72"/>
      <c r="V889" s="72"/>
      <c r="W889" s="72"/>
      <c r="X889" s="72"/>
    </row>
    <row r="890" spans="4:24" ht="15.75" customHeight="1"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9"/>
      <c r="P890" s="70"/>
      <c r="Q890" s="70"/>
      <c r="R890" s="71"/>
      <c r="S890" s="72"/>
      <c r="U890" s="72"/>
      <c r="V890" s="72"/>
      <c r="W890" s="72"/>
      <c r="X890" s="72"/>
    </row>
    <row r="891" spans="4:24" ht="15.75" customHeight="1"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9"/>
      <c r="P891" s="70"/>
      <c r="Q891" s="70"/>
      <c r="R891" s="71"/>
      <c r="S891" s="72"/>
      <c r="U891" s="72"/>
      <c r="V891" s="72"/>
      <c r="W891" s="72"/>
      <c r="X891" s="72"/>
    </row>
    <row r="892" spans="4:24" ht="15.75" customHeight="1"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9"/>
      <c r="P892" s="70"/>
      <c r="Q892" s="70"/>
      <c r="R892" s="71"/>
      <c r="S892" s="72"/>
      <c r="U892" s="72"/>
      <c r="V892" s="72"/>
      <c r="W892" s="72"/>
      <c r="X892" s="72"/>
    </row>
    <row r="893" spans="4:24" ht="15.75" customHeight="1"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9"/>
      <c r="P893" s="70"/>
      <c r="Q893" s="70"/>
      <c r="R893" s="71"/>
      <c r="S893" s="72"/>
      <c r="U893" s="72"/>
      <c r="V893" s="72"/>
      <c r="W893" s="72"/>
      <c r="X893" s="72"/>
    </row>
    <row r="894" spans="4:24" ht="15.75" customHeight="1"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9"/>
      <c r="P894" s="70"/>
      <c r="Q894" s="70"/>
      <c r="R894" s="71"/>
      <c r="S894" s="72"/>
      <c r="U894" s="72"/>
      <c r="V894" s="72"/>
      <c r="W894" s="72"/>
      <c r="X894" s="72"/>
    </row>
    <row r="895" spans="4:24" ht="15.75" customHeight="1"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9"/>
      <c r="P895" s="70"/>
      <c r="Q895" s="70"/>
      <c r="R895" s="71"/>
      <c r="S895" s="72"/>
      <c r="U895" s="72"/>
      <c r="V895" s="72"/>
      <c r="W895" s="72"/>
      <c r="X895" s="72"/>
    </row>
    <row r="896" spans="4:24" ht="15.75" customHeight="1"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9"/>
      <c r="P896" s="70"/>
      <c r="Q896" s="70"/>
      <c r="R896" s="71"/>
      <c r="S896" s="72"/>
      <c r="U896" s="72"/>
      <c r="V896" s="72"/>
      <c r="W896" s="72"/>
      <c r="X896" s="72"/>
    </row>
    <row r="897" spans="4:24" ht="15.75" customHeight="1"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9"/>
      <c r="P897" s="70"/>
      <c r="Q897" s="70"/>
      <c r="R897" s="71"/>
      <c r="S897" s="72"/>
      <c r="U897" s="72"/>
      <c r="V897" s="72"/>
      <c r="W897" s="72"/>
      <c r="X897" s="72"/>
    </row>
    <row r="898" spans="4:24" ht="15.75" customHeight="1"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9"/>
      <c r="P898" s="70"/>
      <c r="Q898" s="70"/>
      <c r="R898" s="71"/>
      <c r="S898" s="72"/>
      <c r="U898" s="72"/>
      <c r="V898" s="72"/>
      <c r="W898" s="72"/>
      <c r="X898" s="72"/>
    </row>
    <row r="899" spans="4:24" ht="15.75" customHeight="1"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9"/>
      <c r="P899" s="70"/>
      <c r="Q899" s="70"/>
      <c r="R899" s="71"/>
      <c r="S899" s="72"/>
      <c r="U899" s="72"/>
      <c r="V899" s="72"/>
      <c r="W899" s="72"/>
      <c r="X899" s="72"/>
    </row>
    <row r="900" spans="4:24" ht="15.75" customHeight="1"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9"/>
      <c r="P900" s="70"/>
      <c r="Q900" s="70"/>
      <c r="R900" s="71"/>
      <c r="S900" s="72"/>
      <c r="U900" s="72"/>
      <c r="V900" s="72"/>
      <c r="W900" s="72"/>
      <c r="X900" s="72"/>
    </row>
    <row r="901" spans="4:24" ht="15.75" customHeight="1"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9"/>
      <c r="P901" s="70"/>
      <c r="Q901" s="70"/>
      <c r="R901" s="71"/>
      <c r="S901" s="72"/>
      <c r="U901" s="72"/>
      <c r="V901" s="72"/>
      <c r="W901" s="72"/>
      <c r="X901" s="72"/>
    </row>
    <row r="902" spans="4:24" ht="15.75" customHeight="1"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9"/>
      <c r="P902" s="70"/>
      <c r="Q902" s="70"/>
      <c r="R902" s="71"/>
      <c r="S902" s="72"/>
      <c r="U902" s="72"/>
      <c r="V902" s="72"/>
      <c r="W902" s="72"/>
      <c r="X902" s="72"/>
    </row>
    <row r="903" spans="4:24" ht="15.75" customHeight="1"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9"/>
      <c r="P903" s="70"/>
      <c r="Q903" s="70"/>
      <c r="R903" s="71"/>
      <c r="S903" s="72"/>
      <c r="U903" s="72"/>
      <c r="V903" s="72"/>
      <c r="W903" s="72"/>
      <c r="X903" s="72"/>
    </row>
    <row r="904" spans="4:24" ht="15.75" customHeight="1"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9"/>
      <c r="P904" s="70"/>
      <c r="Q904" s="70"/>
      <c r="R904" s="71"/>
      <c r="S904" s="72"/>
      <c r="U904" s="72"/>
      <c r="V904" s="72"/>
      <c r="W904" s="72"/>
      <c r="X904" s="72"/>
    </row>
    <row r="905" spans="4:24" ht="15.75" customHeight="1"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9"/>
      <c r="P905" s="70"/>
      <c r="Q905" s="70"/>
      <c r="R905" s="71"/>
      <c r="S905" s="72"/>
      <c r="U905" s="72"/>
      <c r="V905" s="72"/>
      <c r="W905" s="72"/>
      <c r="X905" s="72"/>
    </row>
    <row r="906" spans="4:24" ht="15.75" customHeight="1"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9"/>
      <c r="P906" s="70"/>
      <c r="Q906" s="70"/>
      <c r="R906" s="71"/>
      <c r="S906" s="72"/>
      <c r="U906" s="72"/>
      <c r="V906" s="72"/>
      <c r="W906" s="72"/>
      <c r="X906" s="72"/>
    </row>
    <row r="907" spans="4:24" ht="15.75" customHeight="1"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9"/>
      <c r="P907" s="70"/>
      <c r="Q907" s="70"/>
      <c r="R907" s="71"/>
      <c r="S907" s="72"/>
      <c r="U907" s="72"/>
      <c r="V907" s="72"/>
      <c r="W907" s="72"/>
      <c r="X907" s="72"/>
    </row>
    <row r="908" spans="4:24" ht="15.75" customHeight="1"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9"/>
      <c r="P908" s="70"/>
      <c r="Q908" s="70"/>
      <c r="R908" s="71"/>
      <c r="S908" s="72"/>
      <c r="U908" s="72"/>
      <c r="V908" s="72"/>
      <c r="W908" s="72"/>
      <c r="X908" s="72"/>
    </row>
    <row r="909" spans="4:24" ht="15.75" customHeight="1"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9"/>
      <c r="P909" s="70"/>
      <c r="Q909" s="70"/>
      <c r="R909" s="71"/>
      <c r="S909" s="72"/>
      <c r="U909" s="72"/>
      <c r="V909" s="72"/>
      <c r="W909" s="72"/>
      <c r="X909" s="72"/>
    </row>
    <row r="910" spans="4:24" ht="15.75" customHeight="1"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9"/>
      <c r="P910" s="70"/>
      <c r="Q910" s="70"/>
      <c r="R910" s="71"/>
      <c r="S910" s="72"/>
      <c r="U910" s="72"/>
      <c r="V910" s="72"/>
      <c r="W910" s="72"/>
      <c r="X910" s="72"/>
    </row>
    <row r="911" spans="4:24" ht="15.75" customHeight="1"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9"/>
      <c r="P911" s="70"/>
      <c r="Q911" s="70"/>
      <c r="R911" s="71"/>
      <c r="S911" s="72"/>
      <c r="U911" s="72"/>
      <c r="V911" s="72"/>
      <c r="W911" s="72"/>
      <c r="X911" s="72"/>
    </row>
    <row r="912" spans="4:24" ht="15.75" customHeight="1"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9"/>
      <c r="P912" s="70"/>
      <c r="Q912" s="70"/>
      <c r="R912" s="71"/>
      <c r="S912" s="72"/>
      <c r="U912" s="72"/>
      <c r="V912" s="72"/>
      <c r="W912" s="72"/>
      <c r="X912" s="72"/>
    </row>
    <row r="913" spans="4:24" ht="15.75" customHeight="1"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9"/>
      <c r="P913" s="70"/>
      <c r="Q913" s="70"/>
      <c r="R913" s="71"/>
      <c r="S913" s="72"/>
      <c r="U913" s="72"/>
      <c r="V913" s="72"/>
      <c r="W913" s="72"/>
      <c r="X913" s="72"/>
    </row>
    <row r="914" spans="4:24" ht="15.75" customHeight="1"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9"/>
      <c r="P914" s="70"/>
      <c r="Q914" s="70"/>
      <c r="R914" s="71"/>
      <c r="S914" s="72"/>
      <c r="U914" s="72"/>
      <c r="V914" s="72"/>
      <c r="W914" s="72"/>
      <c r="X914" s="72"/>
    </row>
    <row r="915" spans="4:24" ht="15.75" customHeight="1"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9"/>
      <c r="P915" s="70"/>
      <c r="Q915" s="70"/>
      <c r="R915" s="71"/>
      <c r="S915" s="72"/>
      <c r="U915" s="72"/>
      <c r="V915" s="72"/>
      <c r="W915" s="72"/>
      <c r="X915" s="72"/>
    </row>
    <row r="916" spans="4:24" ht="15.75" customHeight="1"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9"/>
      <c r="P916" s="70"/>
      <c r="Q916" s="70"/>
      <c r="R916" s="71"/>
      <c r="S916" s="72"/>
      <c r="U916" s="72"/>
      <c r="V916" s="72"/>
      <c r="W916" s="72"/>
      <c r="X916" s="72"/>
    </row>
    <row r="917" spans="4:24" ht="15.75" customHeight="1"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9"/>
      <c r="P917" s="70"/>
      <c r="Q917" s="70"/>
      <c r="R917" s="71"/>
      <c r="S917" s="72"/>
      <c r="U917" s="72"/>
      <c r="V917" s="72"/>
      <c r="W917" s="72"/>
      <c r="X917" s="72"/>
    </row>
    <row r="918" spans="4:24" ht="15.75" customHeight="1"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9"/>
      <c r="P918" s="70"/>
      <c r="Q918" s="70"/>
      <c r="R918" s="71"/>
      <c r="S918" s="72"/>
      <c r="U918" s="72"/>
      <c r="V918" s="72"/>
      <c r="W918" s="72"/>
      <c r="X918" s="72"/>
    </row>
    <row r="919" spans="4:24" ht="15.75" customHeight="1"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9"/>
      <c r="P919" s="70"/>
      <c r="Q919" s="70"/>
      <c r="R919" s="71"/>
      <c r="S919" s="72"/>
      <c r="U919" s="72"/>
      <c r="V919" s="72"/>
      <c r="W919" s="72"/>
      <c r="X919" s="72"/>
    </row>
    <row r="920" spans="4:24" ht="15.75" customHeight="1"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9"/>
      <c r="P920" s="70"/>
      <c r="Q920" s="70"/>
      <c r="R920" s="71"/>
      <c r="S920" s="72"/>
      <c r="U920" s="72"/>
      <c r="V920" s="72"/>
      <c r="W920" s="72"/>
      <c r="X920" s="72"/>
    </row>
    <row r="921" spans="4:24" ht="15.75" customHeight="1"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9"/>
      <c r="P921" s="70"/>
      <c r="Q921" s="70"/>
      <c r="R921" s="71"/>
      <c r="S921" s="72"/>
      <c r="U921" s="72"/>
      <c r="V921" s="72"/>
      <c r="W921" s="72"/>
      <c r="X921" s="72"/>
    </row>
    <row r="922" spans="4:24" ht="15.75" customHeight="1"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9"/>
      <c r="P922" s="70"/>
      <c r="Q922" s="70"/>
      <c r="R922" s="71"/>
      <c r="S922" s="72"/>
      <c r="U922" s="72"/>
      <c r="V922" s="72"/>
      <c r="W922" s="72"/>
      <c r="X922" s="72"/>
    </row>
    <row r="923" spans="4:24" ht="15.75" customHeight="1"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9"/>
      <c r="P923" s="70"/>
      <c r="Q923" s="70"/>
      <c r="R923" s="71"/>
      <c r="S923" s="72"/>
      <c r="U923" s="72"/>
      <c r="V923" s="72"/>
      <c r="W923" s="72"/>
      <c r="X923" s="72"/>
    </row>
    <row r="924" spans="4:24" ht="15.75" customHeight="1"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9"/>
      <c r="P924" s="70"/>
      <c r="Q924" s="70"/>
      <c r="R924" s="71"/>
      <c r="S924" s="72"/>
      <c r="U924" s="72"/>
      <c r="V924" s="72"/>
      <c r="W924" s="72"/>
      <c r="X924" s="72"/>
    </row>
    <row r="925" spans="4:24" ht="15.75" customHeight="1"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9"/>
      <c r="P925" s="70"/>
      <c r="Q925" s="70"/>
      <c r="R925" s="71"/>
      <c r="S925" s="72"/>
      <c r="U925" s="72"/>
      <c r="V925" s="72"/>
      <c r="W925" s="72"/>
      <c r="X925" s="72"/>
    </row>
    <row r="926" spans="4:24" ht="15.75" customHeight="1"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9"/>
      <c r="P926" s="70"/>
      <c r="Q926" s="70"/>
      <c r="R926" s="71"/>
      <c r="S926" s="72"/>
      <c r="U926" s="72"/>
      <c r="V926" s="72"/>
      <c r="W926" s="72"/>
      <c r="X926" s="72"/>
    </row>
    <row r="927" spans="4:24" ht="15.75" customHeight="1"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9"/>
      <c r="P927" s="70"/>
      <c r="Q927" s="70"/>
      <c r="R927" s="71"/>
      <c r="S927" s="72"/>
      <c r="U927" s="72"/>
      <c r="V927" s="72"/>
      <c r="W927" s="72"/>
      <c r="X927" s="72"/>
    </row>
    <row r="928" spans="4:24" ht="15.75" customHeight="1"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9"/>
      <c r="P928" s="70"/>
      <c r="Q928" s="70"/>
      <c r="R928" s="71"/>
      <c r="S928" s="72"/>
      <c r="U928" s="72"/>
      <c r="V928" s="72"/>
      <c r="W928" s="72"/>
      <c r="X928" s="72"/>
    </row>
    <row r="929" spans="4:24" ht="15.75" customHeight="1"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9"/>
      <c r="P929" s="70"/>
      <c r="Q929" s="70"/>
      <c r="R929" s="71"/>
      <c r="S929" s="72"/>
      <c r="U929" s="72"/>
      <c r="V929" s="72"/>
      <c r="W929" s="72"/>
      <c r="X929" s="72"/>
    </row>
    <row r="930" spans="4:24" ht="15.75" customHeight="1"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9"/>
      <c r="P930" s="70"/>
      <c r="Q930" s="70"/>
      <c r="R930" s="71"/>
      <c r="S930" s="72"/>
      <c r="U930" s="72"/>
      <c r="V930" s="72"/>
      <c r="W930" s="72"/>
      <c r="X930" s="72"/>
    </row>
    <row r="931" spans="4:24" ht="15.75" customHeight="1"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9"/>
      <c r="P931" s="70"/>
      <c r="Q931" s="70"/>
      <c r="R931" s="71"/>
      <c r="S931" s="72"/>
      <c r="U931" s="72"/>
      <c r="V931" s="72"/>
      <c r="W931" s="72"/>
      <c r="X931" s="72"/>
    </row>
    <row r="932" spans="4:24" ht="15.75" customHeight="1"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9"/>
      <c r="P932" s="70"/>
      <c r="Q932" s="70"/>
      <c r="R932" s="71"/>
      <c r="S932" s="72"/>
      <c r="U932" s="72"/>
      <c r="V932" s="72"/>
      <c r="W932" s="72"/>
      <c r="X932" s="72"/>
    </row>
    <row r="933" spans="4:24" ht="15.75" customHeight="1"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9"/>
      <c r="P933" s="70"/>
      <c r="Q933" s="70"/>
      <c r="R933" s="71"/>
      <c r="S933" s="72"/>
      <c r="U933" s="72"/>
      <c r="V933" s="72"/>
      <c r="W933" s="72"/>
      <c r="X933" s="72"/>
    </row>
    <row r="934" spans="4:24" ht="15.75" customHeight="1"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9"/>
      <c r="P934" s="70"/>
      <c r="Q934" s="70"/>
      <c r="R934" s="71"/>
      <c r="S934" s="72"/>
      <c r="U934" s="72"/>
      <c r="V934" s="72"/>
      <c r="W934" s="72"/>
      <c r="X934" s="72"/>
    </row>
    <row r="935" spans="4:24" ht="15.75" customHeight="1"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9"/>
      <c r="P935" s="70"/>
      <c r="Q935" s="70"/>
      <c r="R935" s="71"/>
      <c r="S935" s="72"/>
      <c r="U935" s="72"/>
      <c r="V935" s="72"/>
      <c r="W935" s="72"/>
      <c r="X935" s="72"/>
    </row>
    <row r="936" spans="4:24" ht="15.75" customHeight="1"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9"/>
      <c r="P936" s="70"/>
      <c r="Q936" s="70"/>
      <c r="R936" s="71"/>
      <c r="S936" s="72"/>
      <c r="U936" s="72"/>
      <c r="V936" s="72"/>
      <c r="W936" s="72"/>
      <c r="X936" s="72"/>
    </row>
    <row r="937" spans="4:24" ht="15.75" customHeight="1"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9"/>
      <c r="P937" s="70"/>
      <c r="Q937" s="70"/>
      <c r="R937" s="71"/>
      <c r="S937" s="72"/>
      <c r="U937" s="72"/>
      <c r="V937" s="72"/>
      <c r="W937" s="72"/>
      <c r="X937" s="72"/>
    </row>
    <row r="938" spans="4:24" ht="15.75" customHeight="1"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9"/>
      <c r="P938" s="70"/>
      <c r="Q938" s="70"/>
      <c r="R938" s="71"/>
      <c r="S938" s="72"/>
      <c r="U938" s="72"/>
      <c r="V938" s="72"/>
      <c r="W938" s="72"/>
      <c r="X938" s="72"/>
    </row>
    <row r="939" spans="4:24" ht="15.75" customHeight="1"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9"/>
      <c r="P939" s="70"/>
      <c r="Q939" s="70"/>
      <c r="R939" s="71"/>
      <c r="S939" s="72"/>
      <c r="U939" s="72"/>
      <c r="V939" s="72"/>
      <c r="W939" s="72"/>
      <c r="X939" s="72"/>
    </row>
    <row r="940" spans="4:24" ht="15.75" customHeight="1"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9"/>
      <c r="P940" s="70"/>
      <c r="Q940" s="70"/>
      <c r="R940" s="71"/>
      <c r="S940" s="72"/>
      <c r="U940" s="72"/>
      <c r="V940" s="72"/>
      <c r="W940" s="72"/>
      <c r="X940" s="72"/>
    </row>
    <row r="941" spans="4:24" ht="15.75" customHeight="1"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9"/>
      <c r="P941" s="70"/>
      <c r="Q941" s="70"/>
      <c r="R941" s="71"/>
      <c r="S941" s="72"/>
      <c r="U941" s="72"/>
      <c r="V941" s="72"/>
      <c r="W941" s="72"/>
      <c r="X941" s="72"/>
    </row>
    <row r="942" spans="4:24" ht="15.75" customHeight="1"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9"/>
      <c r="P942" s="70"/>
      <c r="Q942" s="70"/>
      <c r="R942" s="71"/>
      <c r="S942" s="72"/>
      <c r="U942" s="72"/>
      <c r="V942" s="72"/>
      <c r="W942" s="72"/>
      <c r="X942" s="72"/>
    </row>
    <row r="943" spans="4:24" ht="15.75" customHeight="1"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9"/>
      <c r="P943" s="70"/>
      <c r="Q943" s="70"/>
      <c r="R943" s="71"/>
      <c r="S943" s="72"/>
      <c r="U943" s="72"/>
      <c r="V943" s="72"/>
      <c r="W943" s="72"/>
      <c r="X943" s="72"/>
    </row>
    <row r="944" spans="4:24" ht="15.75" customHeight="1"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9"/>
      <c r="P944" s="70"/>
      <c r="Q944" s="70"/>
      <c r="R944" s="71"/>
      <c r="S944" s="72"/>
      <c r="U944" s="72"/>
      <c r="V944" s="72"/>
      <c r="W944" s="72"/>
      <c r="X944" s="72"/>
    </row>
    <row r="945" spans="4:24" ht="15.75" customHeight="1"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9"/>
      <c r="P945" s="70"/>
      <c r="Q945" s="70"/>
      <c r="R945" s="71"/>
      <c r="S945" s="72"/>
      <c r="U945" s="72"/>
      <c r="V945" s="72"/>
      <c r="W945" s="72"/>
      <c r="X945" s="72"/>
    </row>
    <row r="946" spans="4:24" ht="15.75" customHeight="1"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9"/>
      <c r="P946" s="70"/>
      <c r="Q946" s="70"/>
      <c r="R946" s="71"/>
      <c r="S946" s="72"/>
      <c r="U946" s="72"/>
      <c r="V946" s="72"/>
      <c r="W946" s="72"/>
      <c r="X946" s="72"/>
    </row>
    <row r="947" spans="4:24" ht="15.75" customHeight="1"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9"/>
      <c r="P947" s="70"/>
      <c r="Q947" s="70"/>
      <c r="R947" s="71"/>
      <c r="S947" s="72"/>
      <c r="U947" s="72"/>
      <c r="V947" s="72"/>
      <c r="W947" s="72"/>
      <c r="X947" s="72"/>
    </row>
    <row r="948" spans="4:24" ht="15.75" customHeight="1"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9"/>
      <c r="P948" s="70"/>
      <c r="Q948" s="70"/>
      <c r="R948" s="71"/>
      <c r="S948" s="72"/>
      <c r="U948" s="72"/>
      <c r="V948" s="72"/>
      <c r="W948" s="72"/>
      <c r="X948" s="72"/>
    </row>
    <row r="949" spans="4:24" ht="15.75" customHeight="1"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9"/>
      <c r="P949" s="70"/>
      <c r="Q949" s="70"/>
      <c r="R949" s="71"/>
      <c r="S949" s="72"/>
      <c r="U949" s="72"/>
      <c r="V949" s="72"/>
      <c r="W949" s="72"/>
      <c r="X949" s="72"/>
    </row>
    <row r="950" spans="4:24" ht="15.75" customHeight="1"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9"/>
      <c r="P950" s="70"/>
      <c r="Q950" s="70"/>
      <c r="R950" s="71"/>
      <c r="S950" s="72"/>
      <c r="U950" s="72"/>
      <c r="V950" s="72"/>
      <c r="W950" s="72"/>
      <c r="X950" s="72"/>
    </row>
    <row r="951" spans="4:24" ht="15.75" customHeight="1"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9"/>
      <c r="P951" s="70"/>
      <c r="Q951" s="70"/>
      <c r="R951" s="71"/>
      <c r="S951" s="72"/>
      <c r="U951" s="72"/>
      <c r="V951" s="72"/>
      <c r="W951" s="72"/>
      <c r="X951" s="72"/>
    </row>
    <row r="952" spans="4:24" ht="15.75" customHeight="1"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9"/>
      <c r="P952" s="70"/>
      <c r="Q952" s="70"/>
      <c r="R952" s="71"/>
      <c r="S952" s="72"/>
      <c r="U952" s="72"/>
      <c r="V952" s="72"/>
      <c r="W952" s="72"/>
      <c r="X952" s="72"/>
    </row>
    <row r="953" spans="4:24" ht="15.75" customHeight="1"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9"/>
      <c r="P953" s="70"/>
      <c r="Q953" s="70"/>
      <c r="R953" s="71"/>
      <c r="S953" s="72"/>
      <c r="U953" s="72"/>
      <c r="V953" s="72"/>
      <c r="W953" s="72"/>
      <c r="X953" s="72"/>
    </row>
    <row r="954" spans="4:24" ht="15.75" customHeight="1"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9"/>
      <c r="P954" s="70"/>
      <c r="Q954" s="70"/>
      <c r="R954" s="71"/>
      <c r="S954" s="72"/>
      <c r="U954" s="72"/>
      <c r="V954" s="72"/>
      <c r="W954" s="72"/>
      <c r="X954" s="72"/>
    </row>
    <row r="955" spans="4:24" ht="15.75" customHeight="1"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9"/>
      <c r="P955" s="70"/>
      <c r="Q955" s="70"/>
      <c r="R955" s="71"/>
      <c r="S955" s="72"/>
      <c r="U955" s="72"/>
      <c r="V955" s="72"/>
      <c r="W955" s="72"/>
      <c r="X955" s="72"/>
    </row>
    <row r="956" spans="4:24" ht="15.75" customHeight="1"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9"/>
      <c r="P956" s="70"/>
      <c r="Q956" s="70"/>
      <c r="R956" s="71"/>
      <c r="S956" s="72"/>
      <c r="U956" s="72"/>
      <c r="V956" s="72"/>
      <c r="W956" s="72"/>
      <c r="X956" s="72"/>
    </row>
    <row r="957" spans="4:24" ht="15.75" customHeight="1"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9"/>
      <c r="P957" s="70"/>
      <c r="Q957" s="70"/>
      <c r="R957" s="71"/>
      <c r="S957" s="72"/>
      <c r="U957" s="72"/>
      <c r="V957" s="72"/>
      <c r="W957" s="72"/>
      <c r="X957" s="72"/>
    </row>
    <row r="958" spans="4:24" ht="15.75" customHeight="1"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9"/>
      <c r="P958" s="70"/>
      <c r="Q958" s="70"/>
      <c r="R958" s="71"/>
      <c r="S958" s="72"/>
      <c r="U958" s="72"/>
      <c r="V958" s="72"/>
      <c r="W958" s="72"/>
      <c r="X958" s="72"/>
    </row>
    <row r="959" spans="4:24" ht="15.75" customHeight="1"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9"/>
      <c r="P959" s="70"/>
      <c r="Q959" s="70"/>
      <c r="R959" s="71"/>
      <c r="S959" s="72"/>
      <c r="U959" s="72"/>
      <c r="V959" s="72"/>
      <c r="W959" s="72"/>
      <c r="X959" s="72"/>
    </row>
    <row r="960" spans="4:24" ht="15.75" customHeight="1"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9"/>
      <c r="P960" s="70"/>
      <c r="Q960" s="70"/>
      <c r="R960" s="71"/>
      <c r="S960" s="72"/>
      <c r="U960" s="72"/>
      <c r="V960" s="72"/>
      <c r="W960" s="72"/>
      <c r="X960" s="72"/>
    </row>
    <row r="961" spans="4:24" ht="15.75" customHeight="1"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9"/>
      <c r="P961" s="70"/>
      <c r="Q961" s="70"/>
      <c r="R961" s="71"/>
      <c r="S961" s="72"/>
      <c r="U961" s="72"/>
      <c r="V961" s="72"/>
      <c r="W961" s="72"/>
      <c r="X961" s="72"/>
    </row>
    <row r="962" spans="4:24" ht="15.75" customHeight="1"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9"/>
      <c r="P962" s="70"/>
      <c r="Q962" s="70"/>
      <c r="R962" s="71"/>
      <c r="S962" s="72"/>
      <c r="U962" s="72"/>
      <c r="V962" s="72"/>
      <c r="W962" s="72"/>
      <c r="X962" s="72"/>
    </row>
    <row r="963" spans="4:24" ht="15.75" customHeight="1"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9"/>
      <c r="P963" s="70"/>
      <c r="Q963" s="70"/>
      <c r="R963" s="71"/>
      <c r="S963" s="72"/>
      <c r="U963" s="72"/>
      <c r="V963" s="72"/>
      <c r="W963" s="72"/>
      <c r="X963" s="72"/>
    </row>
    <row r="964" spans="4:24" ht="15.75" customHeight="1"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9"/>
      <c r="P964" s="70"/>
      <c r="Q964" s="70"/>
      <c r="R964" s="71"/>
      <c r="S964" s="72"/>
      <c r="U964" s="72"/>
      <c r="V964" s="72"/>
      <c r="W964" s="72"/>
      <c r="X964" s="72"/>
    </row>
    <row r="965" spans="4:24" ht="15.75" customHeight="1"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9"/>
      <c r="P965" s="70"/>
      <c r="Q965" s="70"/>
      <c r="R965" s="71"/>
      <c r="S965" s="72"/>
      <c r="U965" s="72"/>
      <c r="V965" s="72"/>
      <c r="W965" s="72"/>
      <c r="X965" s="72"/>
    </row>
    <row r="966" spans="4:24" ht="15.75" customHeight="1"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9"/>
      <c r="P966" s="70"/>
      <c r="Q966" s="70"/>
      <c r="R966" s="71"/>
      <c r="S966" s="72"/>
      <c r="U966" s="72"/>
      <c r="V966" s="72"/>
      <c r="W966" s="72"/>
      <c r="X966" s="72"/>
    </row>
    <row r="967" spans="4:24" ht="15.75" customHeight="1"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9"/>
      <c r="P967" s="70"/>
      <c r="Q967" s="70"/>
      <c r="R967" s="71"/>
      <c r="S967" s="72"/>
      <c r="U967" s="72"/>
      <c r="V967" s="72"/>
      <c r="W967" s="72"/>
      <c r="X967" s="72"/>
    </row>
    <row r="968" spans="4:24" ht="15.75" customHeight="1"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9"/>
      <c r="P968" s="70"/>
      <c r="Q968" s="70"/>
      <c r="R968" s="71"/>
      <c r="S968" s="72"/>
      <c r="U968" s="72"/>
      <c r="V968" s="72"/>
      <c r="W968" s="72"/>
      <c r="X968" s="72"/>
    </row>
    <row r="969" spans="4:24" ht="15.75" customHeight="1"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9"/>
      <c r="P969" s="70"/>
      <c r="Q969" s="70"/>
      <c r="R969" s="71"/>
      <c r="S969" s="72"/>
      <c r="U969" s="72"/>
      <c r="V969" s="72"/>
      <c r="W969" s="72"/>
      <c r="X969" s="72"/>
    </row>
    <row r="970" spans="4:24" ht="15.75" customHeight="1"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9"/>
      <c r="P970" s="70"/>
      <c r="Q970" s="70"/>
      <c r="R970" s="71"/>
      <c r="S970" s="72"/>
      <c r="U970" s="72"/>
      <c r="V970" s="72"/>
      <c r="W970" s="72"/>
      <c r="X970" s="72"/>
    </row>
    <row r="971" spans="4:24" ht="15.75" customHeight="1"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9"/>
      <c r="P971" s="70"/>
      <c r="Q971" s="70"/>
      <c r="R971" s="71"/>
      <c r="S971" s="72"/>
      <c r="U971" s="72"/>
      <c r="V971" s="72"/>
      <c r="W971" s="72"/>
      <c r="X971" s="72"/>
    </row>
    <row r="972" spans="4:24" ht="15.75" customHeight="1"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9"/>
      <c r="P972" s="70"/>
      <c r="Q972" s="70"/>
      <c r="R972" s="71"/>
      <c r="S972" s="72"/>
      <c r="U972" s="72"/>
      <c r="V972" s="72"/>
      <c r="W972" s="72"/>
      <c r="X972" s="72"/>
    </row>
    <row r="973" spans="4:24" ht="15.75" customHeight="1"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9"/>
      <c r="P973" s="70"/>
      <c r="Q973" s="70"/>
      <c r="R973" s="71"/>
      <c r="S973" s="72"/>
      <c r="U973" s="72"/>
      <c r="V973" s="72"/>
      <c r="W973" s="72"/>
      <c r="X973" s="72"/>
    </row>
    <row r="974" spans="4:24" ht="15.75" customHeight="1"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9"/>
      <c r="P974" s="70"/>
      <c r="Q974" s="70"/>
      <c r="R974" s="71"/>
      <c r="S974" s="72"/>
      <c r="U974" s="72"/>
      <c r="V974" s="72"/>
      <c r="W974" s="72"/>
      <c r="X974" s="72"/>
    </row>
    <row r="975" spans="4:24" ht="15.75" customHeight="1"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9"/>
      <c r="P975" s="70"/>
      <c r="Q975" s="70"/>
      <c r="R975" s="71"/>
      <c r="S975" s="72"/>
      <c r="U975" s="72"/>
      <c r="V975" s="72"/>
      <c r="W975" s="72"/>
      <c r="X975" s="72"/>
    </row>
    <row r="976" spans="4:24" ht="15.75" customHeight="1"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9"/>
      <c r="P976" s="70"/>
      <c r="Q976" s="70"/>
      <c r="R976" s="71"/>
      <c r="S976" s="72"/>
      <c r="U976" s="72"/>
      <c r="V976" s="72"/>
      <c r="W976" s="72"/>
      <c r="X976" s="72"/>
    </row>
    <row r="977" spans="4:24" ht="15.75" customHeight="1"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9"/>
      <c r="P977" s="70"/>
      <c r="Q977" s="70"/>
      <c r="R977" s="71"/>
      <c r="S977" s="72"/>
      <c r="U977" s="72"/>
      <c r="V977" s="72"/>
      <c r="W977" s="72"/>
      <c r="X977" s="72"/>
    </row>
    <row r="978" spans="4:24" ht="15.75" customHeight="1"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9"/>
      <c r="P978" s="70"/>
      <c r="Q978" s="70"/>
      <c r="R978" s="71"/>
      <c r="S978" s="72"/>
      <c r="U978" s="72"/>
      <c r="V978" s="72"/>
      <c r="W978" s="72"/>
      <c r="X978" s="72"/>
    </row>
    <row r="979" spans="4:24" ht="15.75" customHeight="1"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9"/>
      <c r="P979" s="70"/>
      <c r="Q979" s="70"/>
      <c r="R979" s="71"/>
      <c r="S979" s="72"/>
      <c r="U979" s="72"/>
      <c r="V979" s="72"/>
      <c r="W979" s="72"/>
      <c r="X979" s="72"/>
    </row>
    <row r="980" spans="4:24" ht="15.75" customHeight="1"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9"/>
      <c r="P980" s="70"/>
      <c r="Q980" s="70"/>
      <c r="R980" s="71"/>
      <c r="S980" s="72"/>
      <c r="U980" s="72"/>
      <c r="V980" s="72"/>
      <c r="W980" s="72"/>
      <c r="X980" s="72"/>
    </row>
    <row r="981" spans="4:24" ht="15.75" customHeight="1"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9"/>
      <c r="P981" s="70"/>
      <c r="Q981" s="70"/>
      <c r="R981" s="71"/>
      <c r="S981" s="72"/>
      <c r="U981" s="72"/>
      <c r="V981" s="72"/>
      <c r="W981" s="72"/>
      <c r="X981" s="72"/>
    </row>
    <row r="982" spans="4:24" ht="15.75" customHeight="1"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9"/>
      <c r="P982" s="70"/>
      <c r="Q982" s="70"/>
      <c r="R982" s="71"/>
      <c r="S982" s="72"/>
      <c r="U982" s="72"/>
      <c r="V982" s="72"/>
      <c r="W982" s="72"/>
      <c r="X982" s="72"/>
    </row>
    <row r="983" spans="4:24" ht="15.75" customHeight="1"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9"/>
      <c r="P983" s="70"/>
      <c r="Q983" s="70"/>
      <c r="R983" s="71"/>
      <c r="S983" s="72"/>
      <c r="U983" s="72"/>
      <c r="V983" s="72"/>
      <c r="W983" s="72"/>
      <c r="X983" s="72"/>
    </row>
    <row r="984" spans="4:24" ht="15.75" customHeight="1"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9"/>
      <c r="P984" s="70"/>
      <c r="Q984" s="70"/>
      <c r="R984" s="71"/>
      <c r="S984" s="72"/>
      <c r="U984" s="72"/>
      <c r="V984" s="72"/>
      <c r="W984" s="72"/>
      <c r="X984" s="72"/>
    </row>
    <row r="985" spans="4:24" ht="15.75" customHeight="1"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9"/>
      <c r="P985" s="70"/>
      <c r="Q985" s="70"/>
      <c r="R985" s="71"/>
      <c r="S985" s="72"/>
      <c r="U985" s="72"/>
      <c r="V985" s="72"/>
      <c r="W985" s="72"/>
      <c r="X985" s="72"/>
    </row>
    <row r="986" spans="4:24" ht="15.75" customHeight="1"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9"/>
      <c r="P986" s="70"/>
      <c r="Q986" s="70"/>
      <c r="R986" s="71"/>
      <c r="S986" s="72"/>
      <c r="U986" s="72"/>
      <c r="V986" s="72"/>
      <c r="W986" s="72"/>
      <c r="X986" s="72"/>
    </row>
    <row r="987" spans="4:24" ht="15.75" customHeight="1"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9"/>
      <c r="P987" s="70"/>
      <c r="Q987" s="70"/>
      <c r="R987" s="71"/>
      <c r="S987" s="72"/>
      <c r="U987" s="72"/>
      <c r="V987" s="72"/>
      <c r="W987" s="72"/>
      <c r="X987" s="72"/>
    </row>
    <row r="988" spans="4:24" ht="15.75" customHeight="1"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9"/>
      <c r="P988" s="70"/>
      <c r="Q988" s="70"/>
      <c r="R988" s="71"/>
      <c r="S988" s="72"/>
      <c r="U988" s="72"/>
      <c r="V988" s="72"/>
      <c r="W988" s="72"/>
      <c r="X988" s="72"/>
    </row>
    <row r="989" spans="4:24" ht="15.75" customHeight="1"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9"/>
      <c r="P989" s="70"/>
      <c r="Q989" s="70"/>
      <c r="R989" s="71"/>
      <c r="S989" s="72"/>
      <c r="U989" s="72"/>
      <c r="V989" s="72"/>
      <c r="W989" s="72"/>
      <c r="X989" s="72"/>
    </row>
    <row r="990" spans="4:24" ht="15.75" customHeight="1"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9"/>
      <c r="P990" s="70"/>
      <c r="Q990" s="70"/>
      <c r="R990" s="71"/>
      <c r="S990" s="72"/>
      <c r="U990" s="72"/>
      <c r="V990" s="72"/>
      <c r="W990" s="72"/>
      <c r="X990" s="72"/>
    </row>
    <row r="991" spans="4:24" ht="15.75" customHeight="1"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9"/>
      <c r="P991" s="70"/>
      <c r="Q991" s="70"/>
      <c r="R991" s="71"/>
      <c r="S991" s="72"/>
      <c r="U991" s="72"/>
      <c r="V991" s="72"/>
      <c r="W991" s="72"/>
      <c r="X991" s="72"/>
    </row>
    <row r="992" spans="4:24" ht="15.75" customHeight="1"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9"/>
      <c r="P992" s="70"/>
      <c r="Q992" s="70"/>
      <c r="R992" s="71"/>
      <c r="S992" s="72"/>
      <c r="U992" s="72"/>
      <c r="V992" s="72"/>
      <c r="W992" s="72"/>
      <c r="X992" s="72"/>
    </row>
    <row r="993" spans="4:24" ht="15.75" customHeight="1"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9"/>
      <c r="P993" s="70"/>
      <c r="Q993" s="70"/>
      <c r="R993" s="71"/>
      <c r="S993" s="72"/>
      <c r="U993" s="72"/>
      <c r="V993" s="72"/>
      <c r="W993" s="72"/>
      <c r="X993" s="72"/>
    </row>
    <row r="994" spans="4:24" ht="15.75" customHeight="1"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9"/>
      <c r="P994" s="70"/>
      <c r="Q994" s="70"/>
      <c r="R994" s="71"/>
      <c r="S994" s="72"/>
      <c r="U994" s="72"/>
      <c r="V994" s="72"/>
      <c r="W994" s="72"/>
      <c r="X994" s="72"/>
    </row>
    <row r="995" spans="4:24" ht="15.75" customHeight="1"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9"/>
      <c r="P995" s="70"/>
      <c r="Q995" s="70"/>
      <c r="R995" s="71"/>
      <c r="S995" s="72"/>
      <c r="U995" s="72"/>
      <c r="V995" s="72"/>
      <c r="W995" s="72"/>
      <c r="X995" s="72"/>
    </row>
    <row r="996" spans="4:24" ht="15.75" customHeight="1"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9"/>
      <c r="P996" s="70"/>
      <c r="Q996" s="70"/>
      <c r="R996" s="71"/>
      <c r="S996" s="72"/>
      <c r="U996" s="72"/>
      <c r="V996" s="72"/>
      <c r="W996" s="72"/>
      <c r="X996" s="72"/>
    </row>
    <row r="997" spans="4:24" ht="15.75" customHeight="1"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9"/>
      <c r="P997" s="70"/>
      <c r="Q997" s="70"/>
      <c r="R997" s="71"/>
      <c r="S997" s="72"/>
      <c r="U997" s="72"/>
      <c r="V997" s="72"/>
      <c r="W997" s="72"/>
      <c r="X997" s="72"/>
    </row>
    <row r="998" spans="4:24" ht="15.75" customHeight="1"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9"/>
      <c r="P998" s="70"/>
      <c r="Q998" s="70"/>
      <c r="R998" s="71"/>
      <c r="S998" s="72"/>
      <c r="U998" s="72"/>
      <c r="V998" s="72"/>
      <c r="W998" s="72"/>
      <c r="X998" s="72"/>
    </row>
    <row r="999" spans="4:24" ht="15.75" customHeight="1"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9"/>
      <c r="P999" s="70"/>
      <c r="Q999" s="70"/>
      <c r="R999" s="71"/>
      <c r="S999" s="72"/>
      <c r="U999" s="72"/>
      <c r="V999" s="72"/>
      <c r="W999" s="72"/>
      <c r="X999" s="72"/>
    </row>
    <row r="1000" spans="4:24" ht="15.75" customHeight="1"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9"/>
      <c r="P1000" s="70"/>
      <c r="Q1000" s="70"/>
      <c r="R1000" s="71"/>
      <c r="S1000" s="72"/>
      <c r="U1000" s="72"/>
      <c r="V1000" s="72"/>
      <c r="W1000" s="72"/>
      <c r="X1000" s="72"/>
    </row>
    <row r="1001" spans="4:24" ht="15.75" customHeight="1">
      <c r="D1001" s="68"/>
      <c r="E1001" s="68"/>
      <c r="F1001" s="68"/>
      <c r="G1001" s="68"/>
      <c r="H1001" s="68"/>
      <c r="I1001" s="68"/>
      <c r="J1001" s="68"/>
      <c r="K1001" s="68"/>
      <c r="L1001" s="68"/>
      <c r="M1001" s="68"/>
      <c r="N1001" s="68"/>
      <c r="O1001" s="69"/>
      <c r="P1001" s="70"/>
      <c r="Q1001" s="70"/>
      <c r="R1001" s="71"/>
      <c r="S1001" s="72"/>
      <c r="U1001" s="72"/>
      <c r="V1001" s="72"/>
      <c r="W1001" s="72"/>
      <c r="X1001" s="72"/>
    </row>
    <row r="1002" spans="4:24" ht="15.75" customHeight="1">
      <c r="D1002" s="68"/>
      <c r="E1002" s="68"/>
      <c r="F1002" s="68"/>
      <c r="G1002" s="68"/>
      <c r="H1002" s="68"/>
      <c r="I1002" s="68"/>
      <c r="J1002" s="68"/>
      <c r="K1002" s="68"/>
      <c r="L1002" s="68"/>
      <c r="M1002" s="68"/>
      <c r="N1002" s="68"/>
      <c r="O1002" s="69"/>
      <c r="P1002" s="70"/>
      <c r="Q1002" s="70"/>
      <c r="R1002" s="71"/>
      <c r="S1002" s="72"/>
      <c r="U1002" s="72"/>
      <c r="V1002" s="72"/>
      <c r="W1002" s="72"/>
      <c r="X1002" s="72"/>
    </row>
    <row r="1003" spans="4:24" ht="15.75" customHeight="1">
      <c r="D1003" s="68"/>
      <c r="E1003" s="68"/>
      <c r="F1003" s="68"/>
      <c r="G1003" s="68"/>
      <c r="H1003" s="68"/>
      <c r="I1003" s="68"/>
      <c r="J1003" s="68"/>
      <c r="K1003" s="68"/>
      <c r="L1003" s="68"/>
      <c r="M1003" s="68"/>
      <c r="N1003" s="68"/>
      <c r="O1003" s="69"/>
      <c r="P1003" s="70"/>
      <c r="Q1003" s="70"/>
      <c r="R1003" s="71"/>
      <c r="S1003" s="72"/>
      <c r="U1003" s="72"/>
      <c r="V1003" s="72"/>
      <c r="W1003" s="72"/>
      <c r="X1003" s="72"/>
    </row>
    <row r="1004" spans="4:24" ht="15.75" customHeight="1">
      <c r="D1004" s="68"/>
      <c r="E1004" s="68"/>
      <c r="F1004" s="68"/>
      <c r="G1004" s="68"/>
      <c r="H1004" s="68"/>
      <c r="I1004" s="68"/>
      <c r="J1004" s="68"/>
      <c r="K1004" s="68"/>
      <c r="L1004" s="68"/>
      <c r="M1004" s="68"/>
      <c r="N1004" s="68"/>
      <c r="O1004" s="69"/>
      <c r="P1004" s="70"/>
      <c r="Q1004" s="70"/>
      <c r="R1004" s="71"/>
      <c r="S1004" s="72"/>
      <c r="U1004" s="72"/>
      <c r="V1004" s="72"/>
      <c r="W1004" s="72"/>
      <c r="X1004" s="72"/>
    </row>
    <row r="1005" spans="4:24" ht="15.75" customHeight="1">
      <c r="D1005" s="68"/>
      <c r="E1005" s="68"/>
      <c r="F1005" s="68"/>
      <c r="G1005" s="68"/>
      <c r="H1005" s="68"/>
      <c r="I1005" s="68"/>
      <c r="J1005" s="68"/>
      <c r="K1005" s="68"/>
      <c r="L1005" s="68"/>
      <c r="M1005" s="68"/>
      <c r="N1005" s="68"/>
      <c r="O1005" s="69"/>
      <c r="P1005" s="70"/>
      <c r="Q1005" s="70"/>
      <c r="R1005" s="71"/>
      <c r="S1005" s="72"/>
      <c r="U1005" s="72"/>
      <c r="V1005" s="72"/>
      <c r="W1005" s="72"/>
      <c r="X1005" s="72"/>
    </row>
    <row r="1006" spans="4:24" ht="15.75" customHeight="1">
      <c r="D1006" s="68"/>
      <c r="E1006" s="68"/>
      <c r="F1006" s="68"/>
      <c r="G1006" s="68"/>
      <c r="H1006" s="68"/>
      <c r="I1006" s="68"/>
      <c r="J1006" s="68"/>
      <c r="K1006" s="68"/>
      <c r="L1006" s="68"/>
      <c r="M1006" s="68"/>
      <c r="N1006" s="68"/>
      <c r="O1006" s="69"/>
      <c r="P1006" s="70"/>
      <c r="Q1006" s="70"/>
      <c r="R1006" s="71"/>
      <c r="S1006" s="72"/>
      <c r="U1006" s="72"/>
      <c r="V1006" s="72"/>
      <c r="W1006" s="72"/>
      <c r="X1006" s="72"/>
    </row>
    <row r="1007" spans="4:24" ht="15.75" customHeight="1">
      <c r="D1007" s="68"/>
      <c r="E1007" s="68"/>
      <c r="F1007" s="68"/>
      <c r="G1007" s="68"/>
      <c r="H1007" s="68"/>
      <c r="I1007" s="68"/>
      <c r="J1007" s="68"/>
      <c r="K1007" s="68"/>
      <c r="L1007" s="68"/>
      <c r="M1007" s="68"/>
      <c r="N1007" s="68"/>
      <c r="O1007" s="69"/>
      <c r="P1007" s="70"/>
      <c r="Q1007" s="70"/>
      <c r="R1007" s="71"/>
      <c r="S1007" s="72"/>
      <c r="U1007" s="72"/>
      <c r="V1007" s="72"/>
      <c r="W1007" s="72"/>
      <c r="X1007" s="72"/>
    </row>
    <row r="1008" spans="4:24" ht="15.75" customHeight="1">
      <c r="D1008" s="68"/>
      <c r="E1008" s="68"/>
      <c r="F1008" s="68"/>
      <c r="G1008" s="68"/>
      <c r="H1008" s="68"/>
      <c r="I1008" s="68"/>
      <c r="J1008" s="68"/>
      <c r="K1008" s="68"/>
      <c r="L1008" s="68"/>
      <c r="M1008" s="68"/>
      <c r="N1008" s="68"/>
      <c r="O1008" s="69"/>
      <c r="P1008" s="70"/>
      <c r="Q1008" s="70"/>
      <c r="R1008" s="71"/>
      <c r="S1008" s="72"/>
      <c r="U1008" s="72"/>
      <c r="V1008" s="72"/>
      <c r="W1008" s="72"/>
      <c r="X1008" s="72"/>
    </row>
    <row r="1009" spans="4:24" ht="15.75" customHeight="1">
      <c r="D1009" s="68"/>
      <c r="E1009" s="68"/>
      <c r="F1009" s="68"/>
      <c r="G1009" s="68"/>
      <c r="H1009" s="68"/>
      <c r="I1009" s="68"/>
      <c r="J1009" s="68"/>
      <c r="K1009" s="68"/>
      <c r="L1009" s="68"/>
      <c r="M1009" s="68"/>
      <c r="N1009" s="68"/>
      <c r="O1009" s="69"/>
      <c r="P1009" s="70"/>
      <c r="Q1009" s="70"/>
      <c r="R1009" s="71"/>
      <c r="S1009" s="72"/>
      <c r="U1009" s="72"/>
      <c r="V1009" s="72"/>
      <c r="W1009" s="72"/>
      <c r="X1009" s="72"/>
    </row>
    <row r="1010" spans="4:24" ht="15.75" customHeight="1">
      <c r="D1010" s="68"/>
      <c r="E1010" s="68"/>
      <c r="F1010" s="68"/>
      <c r="G1010" s="68"/>
      <c r="H1010" s="68"/>
      <c r="I1010" s="68"/>
      <c r="J1010" s="68"/>
      <c r="K1010" s="68"/>
      <c r="L1010" s="68"/>
      <c r="M1010" s="68"/>
      <c r="N1010" s="68"/>
      <c r="O1010" s="69"/>
      <c r="P1010" s="70"/>
      <c r="Q1010" s="70"/>
      <c r="R1010" s="71"/>
      <c r="S1010" s="72"/>
      <c r="U1010" s="72"/>
      <c r="V1010" s="72"/>
      <c r="W1010" s="72"/>
      <c r="X1010" s="72"/>
    </row>
    <row r="1011" spans="4:24" ht="15.75" customHeight="1">
      <c r="D1011" s="68"/>
      <c r="E1011" s="68"/>
      <c r="F1011" s="68"/>
      <c r="G1011" s="68"/>
      <c r="H1011" s="68"/>
      <c r="I1011" s="68"/>
      <c r="J1011" s="68"/>
      <c r="K1011" s="68"/>
      <c r="L1011" s="68"/>
      <c r="M1011" s="68"/>
      <c r="N1011" s="68"/>
      <c r="O1011" s="69"/>
      <c r="P1011" s="70"/>
      <c r="Q1011" s="70"/>
      <c r="R1011" s="71"/>
      <c r="S1011" s="72"/>
      <c r="U1011" s="72"/>
      <c r="V1011" s="72"/>
      <c r="W1011" s="72"/>
      <c r="X1011" s="72"/>
    </row>
  </sheetData>
  <mergeCells count="43">
    <mergeCell ref="A1:Z1"/>
    <mergeCell ref="AE1:AK1"/>
    <mergeCell ref="D2:Z2"/>
    <mergeCell ref="A3:A5"/>
    <mergeCell ref="B3:B5"/>
    <mergeCell ref="C3:C5"/>
    <mergeCell ref="D3:F4"/>
    <mergeCell ref="G3:I4"/>
    <mergeCell ref="J3:M4"/>
    <mergeCell ref="N3:N5"/>
    <mergeCell ref="O3:Q4"/>
    <mergeCell ref="R3:W3"/>
    <mergeCell ref="X3:X5"/>
    <mergeCell ref="Y3:Y5"/>
    <mergeCell ref="Z3:Z5"/>
    <mergeCell ref="R4:T4"/>
    <mergeCell ref="A75:A76"/>
    <mergeCell ref="A6:A11"/>
    <mergeCell ref="A12:A16"/>
    <mergeCell ref="A17:A25"/>
    <mergeCell ref="A26:A35"/>
    <mergeCell ref="A36:A42"/>
    <mergeCell ref="A43:A49"/>
    <mergeCell ref="A50:A52"/>
    <mergeCell ref="A55:A62"/>
    <mergeCell ref="A63:A68"/>
    <mergeCell ref="A70:A71"/>
    <mergeCell ref="A72:A74"/>
    <mergeCell ref="A77:A79"/>
    <mergeCell ref="A80:A81"/>
    <mergeCell ref="C84:C90"/>
    <mergeCell ref="D84:U84"/>
    <mergeCell ref="D85:U85"/>
    <mergeCell ref="D86:U86"/>
    <mergeCell ref="D87:U87"/>
    <mergeCell ref="D88:U88"/>
    <mergeCell ref="D89:U89"/>
    <mergeCell ref="D90:U90"/>
    <mergeCell ref="A92:B92"/>
    <mergeCell ref="A93:B93"/>
    <mergeCell ref="A94:B94"/>
    <mergeCell ref="A95:B95"/>
    <mergeCell ref="A96:B98"/>
  </mergeCells>
  <hyperlinks>
    <hyperlink ref="D84" r:id="rId1" display="1. Instituto Nacional de Estadística y Geografía. (2021). Defunciones por residencia habitual del fallecido y tipo de mortalidad según sexo. [Conjunto de datos]. Defunciones registradas (mortalidad general). https://www.inegi.org.mx/sistemas/olap/Proyecto" xr:uid="{4FCF5FE7-CA0D-4781-A3C0-724061664E20}"/>
    <hyperlink ref="D85" r:id="rId2" display="2. Instituto Nacional de Estadística y Geografía. (2021). Natalidad por residencia habitual del fallecido y según sexo. [Conjunto de datos]. Nacimientos registrados. https://www.inegi.org.mx/sistemas/olap/Proyectos/bd/continuas/natalidad/nacimientos.asp  " xr:uid="{CFFEE0B0-D4B5-4E49-BDB7-0836BA4BBB6B}"/>
    <hyperlink ref="D86" r:id="rId3" display="3. Instituto Nacional de Estadística y Geografía. (2020). Unidades médicas en servicio de las instituciones del sector público de salud. [Conjunto de datos]. Unidades médicas en servicio de las instituciones del sector público de salud por municipio y niv" xr:uid="{60A4B7F5-AB0F-4A8F-8B45-7881704C79A9}"/>
    <hyperlink ref="D87" r:id="rId4" display="4. Instituto Nacional de Estadística y Geografía. (2020). Casas y técnicas en salud coordinadas por la SSA. [Conjunto de datos]. Casas y técnicas en salud coordinadas por la SSA por municipio _x000a_Al 31 de diciembre de 2020. https://view.officeapps.live.com/o" xr:uid="{D8A69A83-4567-4E8C-9D81-C80E59EC9B48}"/>
    <hyperlink ref="D88" r:id="rId5" display="5. Instituto Nacional de Estadística y Geografía. (2020). Personal médico de las instituciones del sector público de salud. [Conjunto de datos]. Personal médico de las instituciones del sector público de salud por municipio según institución Al 31 de dici" xr:uid="{942E69FD-5D27-4584-B599-155B3844D747}"/>
    <hyperlink ref="D89" r:id="rId6" display="6.  Secretaria de Planeación y Finanzas del gobierno de Puebla. (s.f.). Porcentaje de personas con carencia por acceso a los servicios de salud.  [Conjunto de datos]. Plan Estatal de Desarrollo. Indicadores de pobreza 2020. https://planeader.puebla.gob.mx" xr:uid="{4B5F657B-A418-4DFA-AD1D-B7DB544DBE77}"/>
    <hyperlink ref="D85:U85" r:id="rId7" location="tabulados" display="2. Instituto Nacional de Estadística y Geografía. (2022). Nacimientos registrados por municipio de residencia habitual de la madre y sexo del registrado según año de ocurrencia. [Conjunto de datos]. Estadística de Nacimientos Registrados (ENR). https://www.inegi.org.mx/programas/natalidad/#tabulados" xr:uid="{64C23186-9136-48F2-803A-56F1639ABBE1}"/>
    <hyperlink ref="D84:U84" r:id="rId8" location="tabulados" display="1. Instituto Nacional de Estadística y Geografía. (2022). Defunciones generales por municipio de residencia habitual del fallecido según sexo. [Conjunto de datos]. Estadísticas de Defunciones Registradas (EDR). https://www.inegi.org.mx/programas/edr/#tabulados" xr:uid="{80631712-53FB-4D68-8662-4F96B336BC69}"/>
    <hyperlink ref="D86:U86" r:id="rId9" display="https://www.inegi.org.mx/app/cuadroentidad/Pue/2023/05/5_6" xr:uid="{3C9CF4A4-7218-405E-81DD-55CA131E5488}"/>
    <hyperlink ref="D88:U88" r:id="rId10" display="https://www.inegi.org.mx/app/cuadroentidad/Pue/2023/05/5_5" xr:uid="{4E258B59-DD92-4E1C-93B1-20EF53473CE5}"/>
    <hyperlink ref="D87:U87" r:id="rId11" display="https://www.inegi.org.mx/app/cuadroentidad/Pue/2023/05/5_7" xr:uid="{0468A88E-A4E0-46C4-9998-7DA86E91708E}"/>
    <hyperlink ref="D89:U89" r:id="rId12" display="6.  Consejo Nacional de Evaluación de la Política de Desarrollo Social. (2022). Porcentaje de personas con carencia por acceso a los servicios de salud. [Conjunto de datos]. Medición de la pobreza. Pobreza a nivel municipio 2010-2020.https://www.coneval.org.mx/Medicion/Paginas/Pobreza-municipio-2010-2020.aspx" xr:uid="{AEDD1DCE-F1A3-4EF9-9757-A0A0DC76A6E7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VASQUEZ MORALES</dc:creator>
  <cp:lastModifiedBy>IPPI 11</cp:lastModifiedBy>
  <dcterms:created xsi:type="dcterms:W3CDTF">2024-07-17T17:23:45Z</dcterms:created>
  <dcterms:modified xsi:type="dcterms:W3CDTF">2024-08-26T19:48:09Z</dcterms:modified>
</cp:coreProperties>
</file>