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IPPI 11\Dropbox\UIEPA\IPPI-DPCIEE-039-2024\AHORA\TEMÁTICAS - BASE DE DATOS\"/>
    </mc:Choice>
  </mc:AlternateContent>
  <xr:revisionPtr revIDLastSave="0" documentId="13_ncr:1_{26E92707-BDE3-496C-944E-98C4FC449EFA}" xr6:coauthVersionLast="47" xr6:coauthVersionMax="47" xr10:uidLastSave="{00000000-0000-0000-0000-000000000000}"/>
  <bookViews>
    <workbookView xWindow="28680" yWindow="-120" windowWidth="29040" windowHeight="16440" xr2:uid="{478AEB5A-5572-4B15-90CD-7319F1C846BD}"/>
  </bookViews>
  <sheets>
    <sheet name="MIGRACIÓ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80" i="1" l="1"/>
  <c r="K80" i="1"/>
  <c r="I80" i="1"/>
  <c r="N79" i="1"/>
  <c r="K79" i="1"/>
  <c r="I79" i="1"/>
  <c r="N78" i="1"/>
  <c r="K78" i="1"/>
  <c r="I78" i="1"/>
  <c r="N77" i="1"/>
  <c r="K77" i="1"/>
  <c r="I77" i="1"/>
  <c r="N76" i="1"/>
  <c r="K76" i="1"/>
  <c r="I76" i="1"/>
  <c r="N75" i="1"/>
  <c r="K75" i="1"/>
  <c r="I75" i="1"/>
  <c r="N74" i="1"/>
  <c r="K74" i="1"/>
  <c r="I74" i="1"/>
  <c r="N73" i="1"/>
  <c r="K73" i="1"/>
  <c r="I73" i="1"/>
  <c r="N72" i="1"/>
  <c r="K72" i="1"/>
  <c r="I72" i="1"/>
  <c r="N71" i="1"/>
  <c r="K71" i="1"/>
  <c r="I71" i="1"/>
  <c r="N70" i="1"/>
  <c r="K70" i="1"/>
  <c r="I70" i="1"/>
  <c r="N69" i="1"/>
  <c r="K69" i="1"/>
  <c r="I69" i="1"/>
  <c r="N68" i="1"/>
  <c r="K68" i="1"/>
  <c r="I68" i="1"/>
  <c r="N67" i="1"/>
  <c r="K67" i="1"/>
  <c r="I67" i="1"/>
  <c r="N66" i="1"/>
  <c r="K66" i="1"/>
  <c r="I66" i="1"/>
  <c r="N65" i="1"/>
  <c r="K65" i="1"/>
  <c r="I65" i="1"/>
  <c r="N64" i="1"/>
  <c r="K64" i="1"/>
  <c r="I64" i="1"/>
  <c r="N63" i="1"/>
  <c r="K63" i="1"/>
  <c r="I63" i="1"/>
  <c r="N62" i="1"/>
  <c r="K62" i="1"/>
  <c r="I62" i="1"/>
  <c r="N61" i="1"/>
  <c r="K61" i="1"/>
  <c r="I61" i="1"/>
  <c r="N60" i="1"/>
  <c r="K60" i="1"/>
  <c r="I60" i="1"/>
  <c r="N59" i="1"/>
  <c r="K59" i="1"/>
  <c r="I59" i="1"/>
  <c r="N58" i="1"/>
  <c r="K58" i="1"/>
  <c r="I58" i="1"/>
  <c r="N57" i="1"/>
  <c r="K57" i="1"/>
  <c r="I57" i="1"/>
  <c r="N56" i="1"/>
  <c r="K56" i="1"/>
  <c r="I56" i="1"/>
  <c r="N55" i="1"/>
  <c r="K55" i="1"/>
  <c r="I55" i="1"/>
  <c r="N54" i="1"/>
  <c r="K54" i="1"/>
  <c r="I54" i="1"/>
  <c r="N53" i="1"/>
  <c r="K53" i="1"/>
  <c r="I53" i="1"/>
  <c r="N52" i="1"/>
  <c r="K52" i="1"/>
  <c r="I52" i="1"/>
  <c r="N51" i="1"/>
  <c r="K51" i="1"/>
  <c r="I51" i="1"/>
  <c r="N50" i="1"/>
  <c r="K50" i="1"/>
  <c r="I50" i="1"/>
  <c r="N49" i="1"/>
  <c r="K49" i="1"/>
  <c r="I49" i="1"/>
  <c r="N48" i="1"/>
  <c r="K48" i="1"/>
  <c r="I48" i="1"/>
  <c r="N47" i="1"/>
  <c r="K47" i="1"/>
  <c r="I47" i="1"/>
  <c r="N46" i="1"/>
  <c r="K46" i="1"/>
  <c r="I46" i="1"/>
  <c r="N45" i="1"/>
  <c r="K45" i="1"/>
  <c r="I45" i="1"/>
  <c r="N44" i="1"/>
  <c r="K44" i="1"/>
  <c r="I44" i="1"/>
  <c r="N43" i="1"/>
  <c r="K43" i="1"/>
  <c r="I43" i="1"/>
  <c r="N42" i="1"/>
  <c r="K42" i="1"/>
  <c r="I42" i="1"/>
  <c r="N41" i="1"/>
  <c r="K41" i="1"/>
  <c r="I41" i="1"/>
  <c r="N40" i="1"/>
  <c r="K40" i="1"/>
  <c r="I40" i="1"/>
  <c r="N39" i="1"/>
  <c r="K39" i="1"/>
  <c r="I39" i="1"/>
  <c r="N38" i="1"/>
  <c r="K38" i="1"/>
  <c r="I38" i="1"/>
  <c r="N37" i="1"/>
  <c r="K37" i="1"/>
  <c r="I37" i="1"/>
  <c r="N36" i="1"/>
  <c r="K36" i="1"/>
  <c r="I36" i="1"/>
  <c r="N35" i="1"/>
  <c r="K35" i="1"/>
  <c r="I35" i="1"/>
  <c r="N34" i="1"/>
  <c r="K34" i="1"/>
  <c r="I34" i="1"/>
  <c r="N33" i="1"/>
  <c r="K33" i="1"/>
  <c r="I33" i="1"/>
  <c r="N32" i="1"/>
  <c r="K32" i="1"/>
  <c r="I32" i="1"/>
  <c r="N31" i="1"/>
  <c r="K31" i="1"/>
  <c r="I31" i="1"/>
  <c r="N30" i="1"/>
  <c r="K30" i="1"/>
  <c r="I30" i="1"/>
  <c r="N29" i="1"/>
  <c r="K29" i="1"/>
  <c r="I29" i="1"/>
  <c r="N28" i="1"/>
  <c r="K28" i="1"/>
  <c r="I28" i="1"/>
  <c r="N27" i="1"/>
  <c r="K27" i="1"/>
  <c r="I27" i="1"/>
  <c r="N26" i="1"/>
  <c r="K26" i="1"/>
  <c r="I26" i="1"/>
  <c r="N25" i="1"/>
  <c r="K25" i="1"/>
  <c r="I25" i="1"/>
  <c r="N24" i="1"/>
  <c r="K24" i="1"/>
  <c r="I24" i="1"/>
  <c r="N23" i="1"/>
  <c r="K23" i="1"/>
  <c r="I23" i="1"/>
  <c r="N22" i="1"/>
  <c r="K22" i="1"/>
  <c r="I22" i="1"/>
  <c r="N21" i="1"/>
  <c r="K21" i="1"/>
  <c r="I21" i="1"/>
  <c r="N20" i="1"/>
  <c r="K20" i="1"/>
  <c r="I20" i="1"/>
  <c r="N19" i="1"/>
  <c r="K19" i="1"/>
  <c r="I19" i="1"/>
  <c r="N18" i="1"/>
  <c r="K18" i="1"/>
  <c r="I18" i="1"/>
  <c r="N17" i="1"/>
  <c r="K17" i="1"/>
  <c r="I17" i="1"/>
  <c r="N16" i="1"/>
  <c r="K16" i="1"/>
  <c r="I16" i="1"/>
  <c r="N15" i="1"/>
  <c r="K15" i="1"/>
  <c r="I15" i="1"/>
  <c r="N14" i="1"/>
  <c r="K14" i="1"/>
  <c r="I14" i="1"/>
  <c r="N13" i="1"/>
  <c r="K13" i="1"/>
  <c r="I13" i="1"/>
  <c r="N12" i="1"/>
  <c r="K12" i="1"/>
  <c r="I12" i="1"/>
  <c r="N11" i="1"/>
  <c r="K11" i="1"/>
  <c r="I11" i="1"/>
  <c r="N10" i="1"/>
  <c r="K10" i="1"/>
  <c r="I10" i="1"/>
  <c r="N9" i="1"/>
  <c r="K9" i="1"/>
  <c r="I9" i="1"/>
  <c r="N8" i="1"/>
  <c r="K8" i="1"/>
  <c r="I8" i="1"/>
  <c r="N7" i="1"/>
  <c r="K7" i="1"/>
  <c r="I7" i="1"/>
  <c r="N6" i="1"/>
  <c r="K6" i="1"/>
  <c r="I6" i="1"/>
  <c r="N5" i="1"/>
  <c r="K5" i="1"/>
  <c r="I5" i="1"/>
</calcChain>
</file>

<file path=xl/sharedStrings.xml><?xml version="1.0" encoding="utf-8"?>
<sst xmlns="http://schemas.openxmlformats.org/spreadsheetml/2006/main" count="221" uniqueCount="149">
  <si>
    <t>INDICADORES DE MUNICIPIOS INDÍGENAS DEL ESTADO DE PUEBLA</t>
  </si>
  <si>
    <t>MIGRACIÓN</t>
  </si>
  <si>
    <t>REGIÓN</t>
  </si>
  <si>
    <t>NO.</t>
  </si>
  <si>
    <t>MUNICIPIO</t>
  </si>
  <si>
    <t>Indicador de grado de intensidad migratoria ₁</t>
  </si>
  <si>
    <t>Indicador de grado de intensidad migratoria (lugar que ocupa de intensidad por municipio en el estado, año 2010)₄</t>
  </si>
  <si>
    <t>Indicador de grado de intensidad migratoria (lugar que ocupa el municipio a escala nacional, año 2020)₁</t>
  </si>
  <si>
    <t>Indicador de Migración por Género (Distribución por porcentaje)</t>
  </si>
  <si>
    <t>Indicador de porcentaje de viviendas que reciben remesas</t>
  </si>
  <si>
    <t>Indicador de cantidad de remesas* (millones de dólares)₂</t>
  </si>
  <si>
    <t>Población nacida en otra entidad₃</t>
  </si>
  <si>
    <t>Población femenina nacida en otra entidad₃</t>
  </si>
  <si>
    <t xml:space="preserve">Porcentaje de Población femenina nacida en otra entidad₅
</t>
  </si>
  <si>
    <t>Población masculina nacida en otra entidad₃</t>
  </si>
  <si>
    <t>Porcentaje de Población masculina nacida en otra entidad₅</t>
  </si>
  <si>
    <t xml:space="preserve">Viviendas Totales₁ </t>
  </si>
  <si>
    <t>Viviendas que reciben remesas₁</t>
  </si>
  <si>
    <t>Porcentaje₅</t>
  </si>
  <si>
    <t xml:space="preserve">Programas de apoyo al migrante a nivel Estado </t>
  </si>
  <si>
    <t>Actores del programa de apoyo al migrante</t>
  </si>
  <si>
    <t>REGIÓN 1. XICOTEPEC</t>
  </si>
  <si>
    <t>Naupan</t>
  </si>
  <si>
    <t>Muy bajo</t>
  </si>
  <si>
    <t>Protección</t>
  </si>
  <si>
    <t>Repatriación Humana</t>
  </si>
  <si>
    <t>Instituto Poblano de Asistencia al Migrante (IPAM)</t>
  </si>
  <si>
    <t>Zihuateutla</t>
  </si>
  <si>
    <t>Traslado de Restos</t>
  </si>
  <si>
    <t>Pantepec</t>
  </si>
  <si>
    <t>Bajo</t>
  </si>
  <si>
    <t>Traslado de Enfermos</t>
  </si>
  <si>
    <t>Tlacuilotepec</t>
  </si>
  <si>
    <t>Orientación Jurídica</t>
  </si>
  <si>
    <t>Pahuatlán</t>
  </si>
  <si>
    <t xml:space="preserve">Información de migrantes detenidos o extraviados </t>
  </si>
  <si>
    <t>Xicotepec</t>
  </si>
  <si>
    <t>Acompañamiento para Trámite de Visa por Razones Humanitarias/Emergencia</t>
  </si>
  <si>
    <t>REGIÓN 2. HUAUCHINANGO</t>
  </si>
  <si>
    <t>Tlapacoya</t>
  </si>
  <si>
    <t>Medio</t>
  </si>
  <si>
    <t>Chiconcuautla</t>
  </si>
  <si>
    <t xml:space="preserve">Jornadas informativas </t>
  </si>
  <si>
    <t>Tlaola</t>
  </si>
  <si>
    <t>Documentación</t>
  </si>
  <si>
    <t>Actas del Registro Civil (Nacimiento, Matrimonio, Defunción)</t>
  </si>
  <si>
    <t>Jopala</t>
  </si>
  <si>
    <t>Rectificación Administrativa de Actas de Nacimiento</t>
  </si>
  <si>
    <t>Huauchinango</t>
  </si>
  <si>
    <t>Constancia de Estudios</t>
  </si>
  <si>
    <t>REGIÓN 3. ZACATLÁN</t>
  </si>
  <si>
    <t>Tepango de Rodríguez</t>
  </si>
  <si>
    <t>Certificado de Estudios</t>
  </si>
  <si>
    <t>Hermenegildo Galeana</t>
  </si>
  <si>
    <t>Constancias de Vecindad</t>
  </si>
  <si>
    <t>Camocuautla</t>
  </si>
  <si>
    <t>Canje o Reposición de Licencia de Conducir del Estado de Puebla</t>
  </si>
  <si>
    <t>Amixtlán</t>
  </si>
  <si>
    <t>Constancia de NO Antecedentes Penales</t>
  </si>
  <si>
    <t>San Felipe Tepatlán</t>
  </si>
  <si>
    <t>Migrantes en retorno</t>
  </si>
  <si>
    <t>Programa Migrante Emprende</t>
  </si>
  <si>
    <t>Coatepec</t>
  </si>
  <si>
    <t>Alto</t>
  </si>
  <si>
    <t>Programa Certificación de Competencias y Capacitación</t>
  </si>
  <si>
    <t>Tepetzintla</t>
  </si>
  <si>
    <t>Vinculación de Migrantes en Retorno</t>
  </si>
  <si>
    <t>Ahuacatlán</t>
  </si>
  <si>
    <t>Reencuentro Familiar</t>
  </si>
  <si>
    <t>Zacatlán</t>
  </si>
  <si>
    <t>REGIÓN 4. HUEHUETLA</t>
  </si>
  <si>
    <t>Ixtepec</t>
  </si>
  <si>
    <r>
      <rPr>
        <sz val="10"/>
        <rFont val="Aptos Narrow"/>
        <family val="2"/>
        <scheme val="minor"/>
      </rPr>
      <t xml:space="preserve">Instituto Poblano de Asistencia al Migrante. (s.f). Requisitos para trámites y servicios. </t>
    </r>
    <r>
      <rPr>
        <u/>
        <sz val="10"/>
        <color theme="10"/>
        <rFont val="Aptos Narrow"/>
        <family val="2"/>
        <scheme val="minor"/>
      </rPr>
      <t>https://ipam.puebla.gob.mx/#:~:text=Somos%20el%20Instituto%20Poblano%20de,el%20extranjero%2C%20aquellos%20que%20retornan</t>
    </r>
  </si>
  <si>
    <t>Hueytlalpan</t>
  </si>
  <si>
    <t>Atlequizayan</t>
  </si>
  <si>
    <t>Huehuetla</t>
  </si>
  <si>
    <t>Olintla</t>
  </si>
  <si>
    <t>Caxhuacan</t>
  </si>
  <si>
    <t>Zongozotla</t>
  </si>
  <si>
    <t>Zapotitlán de Méndez</t>
  </si>
  <si>
    <t>Xochitlán de Vicente Suárez</t>
  </si>
  <si>
    <t>Huitzilan de Serdán</t>
  </si>
  <si>
    <t>REGIÓN 5. ZACAPOAXTLA</t>
  </si>
  <si>
    <t>Zoquiapan</t>
  </si>
  <si>
    <t>Jonotla</t>
  </si>
  <si>
    <t>Xochiapulco</t>
  </si>
  <si>
    <t>Tuzamapan de Galeana</t>
  </si>
  <si>
    <t>Zautla</t>
  </si>
  <si>
    <t>Cuetzalan del Progreso</t>
  </si>
  <si>
    <t>Zacapoaxtla</t>
  </si>
  <si>
    <t>REGIÓN 6. TEZIUTLÁN</t>
  </si>
  <si>
    <t>Hueyapan</t>
  </si>
  <si>
    <t>Ayotoxco de Guerrero</t>
  </si>
  <si>
    <t>Atempan</t>
  </si>
  <si>
    <t>Chignautla</t>
  </si>
  <si>
    <t>Teziutlán</t>
  </si>
  <si>
    <t>Tlatlauquitepec</t>
  </si>
  <si>
    <t>Yaonáhuac</t>
  </si>
  <si>
    <t>REGIÓN 7. CHIGNAHUAPAN</t>
  </si>
  <si>
    <t>Cuautempan</t>
  </si>
  <si>
    <t>Ixtacamaxtitlán</t>
  </si>
  <si>
    <t>Tetela de Ocampo</t>
  </si>
  <si>
    <t>REGIÓN 9. QUIMIXTLÁN</t>
  </si>
  <si>
    <t>Chichiquila</t>
  </si>
  <si>
    <t>REGIÓN 12. TECAMACHALCO</t>
  </si>
  <si>
    <t>Tlacotepec de Benito Juárez</t>
  </si>
  <si>
    <t>REGIÓN 13. TEHUACÁN</t>
  </si>
  <si>
    <t>San Antonio Cañada</t>
  </si>
  <si>
    <t>San José Miahuatlán</t>
  </si>
  <si>
    <t>San Gabriel Chilac</t>
  </si>
  <si>
    <t>Coxcatlán</t>
  </si>
  <si>
    <t>Altepexi</t>
  </si>
  <si>
    <t>Tehuacán</t>
  </si>
  <si>
    <t>Zinacatepec</t>
  </si>
  <si>
    <t>Santiago Miahuatlan</t>
  </si>
  <si>
    <t>REGIÓN 14. SIERRA NEGRA</t>
  </si>
  <si>
    <t>Eloxochitlán</t>
  </si>
  <si>
    <t>Zoquitlán</t>
  </si>
  <si>
    <t>Vicente Guerrero</t>
  </si>
  <si>
    <t>Coyomeapan</t>
  </si>
  <si>
    <t>San Sebastián Tlacotepec</t>
  </si>
  <si>
    <t>Ajalpan</t>
  </si>
  <si>
    <t>REGIÓN 15. IZÚCAR DE MATAMOROS</t>
  </si>
  <si>
    <t>Teopantlán</t>
  </si>
  <si>
    <t>REGIÓN 17. ACATLÁN</t>
  </si>
  <si>
    <t>San Jerónimo Xayacatlán</t>
  </si>
  <si>
    <t>Xayacatlán de Bravo</t>
  </si>
  <si>
    <t>REGIÓN 18. 
TEPEXÍ DE RODRÍGUEZ</t>
  </si>
  <si>
    <t>Chigmecatitlán</t>
  </si>
  <si>
    <t>Huatlatlauca</t>
  </si>
  <si>
    <t>Santa Catarina Tlaltempan</t>
  </si>
  <si>
    <t>REGIÓN 19. ATLIXCO</t>
  </si>
  <si>
    <t>Acteopan</t>
  </si>
  <si>
    <t>Atlixco</t>
  </si>
  <si>
    <t xml:space="preserve">REGIÓN 21-31 ÁREA METROPOLITANA DE LA CIUDAD DE PUEBLA </t>
  </si>
  <si>
    <t>Amozoc</t>
  </si>
  <si>
    <t>Puebla</t>
  </si>
  <si>
    <t>San Andrés Cholula</t>
  </si>
  <si>
    <t>REGIÓN 32. TEPEACA</t>
  </si>
  <si>
    <t>Tepatlaxco de Hidalgo</t>
  </si>
  <si>
    <t>Acajete</t>
  </si>
  <si>
    <t>Fuente:</t>
  </si>
  <si>
    <r>
      <rPr>
        <sz val="10"/>
        <rFont val="Aptos Narrow"/>
        <family val="2"/>
        <scheme val="minor"/>
      </rPr>
      <t>1. Consejo Nacional de Población. (s.f.). Grado del Índice de Intensidad Migratoria. [Conjunto de datos]. Indicadores del Índice de Intensidad Migratoria México-Estados Unidos a nivel municipal 2020.</t>
    </r>
    <r>
      <rPr>
        <sz val="10"/>
        <color theme="10"/>
        <rFont val="Aptos Narrow"/>
        <family val="2"/>
        <scheme val="minor"/>
      </rPr>
      <t xml:space="preserve">  </t>
    </r>
    <r>
      <rPr>
        <u/>
        <sz val="10"/>
        <color theme="10"/>
        <rFont val="Aptos Narrow"/>
        <family val="2"/>
        <scheme val="minor"/>
      </rPr>
      <t>https://www.gob.mx/conapo/documentos/indices-de-intensidad-migratoria-mexico-estados-unidos-2020</t>
    </r>
  </si>
  <si>
    <r>
      <rPr>
        <sz val="10"/>
        <rFont val="Nunito"/>
      </rPr>
      <t xml:space="preserve">2. Banco de México. (s.f.). Ingresos por remesas. [Conjunto de datos]. Ingresos por remesas, distribución por municipio. </t>
    </r>
    <r>
      <rPr>
        <u/>
        <sz val="10"/>
        <color rgb="FF1155CC"/>
        <rFont val="Nunito"/>
      </rPr>
      <t>https://www.banxico.org.mx/SieInternet/consultarDirectorioInternetAction.do?sector=1&amp;accion=consultarCuadro&amp;idCuadro=CE166&amp;locale=es</t>
    </r>
    <r>
      <rPr>
        <sz val="10"/>
        <rFont val="Nunito"/>
      </rPr>
      <t xml:space="preserve"> </t>
    </r>
  </si>
  <si>
    <r>
      <rPr>
        <sz val="10"/>
        <rFont val="Nunito"/>
      </rPr>
      <t xml:space="preserve">3. Instituto Nacional de Estadística y Geografía. (2021). Población total por municipio de residencia actual y lugar de nacimiento según sexo . [Conjunto de datos]. Censo de Población y Vivienda 2020. Tabulados del Cuestionario Básico. </t>
    </r>
    <r>
      <rPr>
        <u/>
        <sz val="10"/>
        <color rgb="FF1155CC"/>
        <rFont val="Nunito"/>
      </rPr>
      <t>https://www.inegi.org.mx/programas/ccpv/2020/#Tabulados</t>
    </r>
  </si>
  <si>
    <r>
      <rPr>
        <sz val="10"/>
        <rFont val="Nunito"/>
      </rPr>
      <t xml:space="preserve">4. Consejo Nacional de Población. (s.f.). Indicador de grado de intensidad migratoria (lugar que ocupa de intensidad por municipio en el estado, año 2010). [Conjunto de datos]. Puebla: Total de viviendas, indicadores sobre migración a Estados Unidos, índice y grado de intensidad migratoria, y lugar que ocupa en los contextos estatal y nacional, por municipio, 2010. </t>
    </r>
    <r>
      <rPr>
        <u/>
        <sz val="10"/>
        <color rgb="FF1155CC"/>
        <rFont val="Nunito"/>
      </rPr>
      <t>http://www.conapo.gob.mx/work/models/CONAPO/intensidad_migratoria/anexos/Anexo_B2.pdf</t>
    </r>
    <r>
      <rPr>
        <sz val="10"/>
        <rFont val="Nunito"/>
      </rPr>
      <t xml:space="preserve"> 
</t>
    </r>
  </si>
  <si>
    <t xml:space="preserve">5. Estimaciones del Instituto Poblano de los Pueblos indígenas, Dirección de Patrimonio Cultural, Investigación y Educación para la Equidad. (2023). Con base en el Instituto Nacional de Estadística y Geografía, Censo de Población y Vivienda 2020. 
</t>
  </si>
  <si>
    <t>NOTA:</t>
  </si>
  <si>
    <t>*Frecuencia trimestral. Dato del primer trimestre del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</si>
</sst>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0"/>
      <color rgb="FF000000"/>
      <name val="Aptos Narrow"/>
      <family val="2"/>
      <scheme val="minor"/>
    </font>
    <font>
      <b/>
      <sz val="10"/>
      <color rgb="FFFFFFFF"/>
      <name val="Nunito"/>
    </font>
    <font>
      <sz val="10"/>
      <name val="Arial"/>
      <family val="2"/>
    </font>
    <font>
      <b/>
      <sz val="8"/>
      <color theme="1"/>
      <name val="Nunito"/>
    </font>
    <font>
      <b/>
      <sz val="10"/>
      <color rgb="FF202122"/>
      <name val="Nunito"/>
    </font>
    <font>
      <b/>
      <sz val="9"/>
      <color theme="1"/>
      <name val="Nunito"/>
    </font>
    <font>
      <sz val="9"/>
      <color theme="1"/>
      <name val="Nunito"/>
    </font>
    <font>
      <sz val="9"/>
      <color rgb="FF202122"/>
      <name val="Nunito"/>
    </font>
    <font>
      <sz val="10"/>
      <color rgb="FF000000"/>
      <name val="Arial"/>
      <family val="2"/>
    </font>
    <font>
      <sz val="9"/>
      <color rgb="FF201F1E"/>
      <name val="Nunito"/>
    </font>
    <font>
      <sz val="9"/>
      <color rgb="FF222222"/>
      <name val="Nunito"/>
    </font>
    <font>
      <u/>
      <sz val="10"/>
      <color theme="10"/>
      <name val="Aptos Narrow"/>
      <family val="2"/>
      <scheme val="minor"/>
    </font>
    <font>
      <sz val="10"/>
      <name val="Aptos Narrow"/>
      <family val="2"/>
      <scheme val="minor"/>
    </font>
    <font>
      <sz val="9"/>
      <color rgb="FF050505"/>
      <name val="Nunito"/>
    </font>
    <font>
      <b/>
      <sz val="10"/>
      <color theme="1"/>
      <name val="Arial"/>
      <family val="2"/>
    </font>
    <font>
      <sz val="10"/>
      <color rgb="FF000000"/>
      <name val="Century Gothic"/>
      <family val="1"/>
    </font>
    <font>
      <sz val="10"/>
      <color rgb="FF000000"/>
      <name val="Nunito"/>
    </font>
    <font>
      <sz val="10"/>
      <color theme="10"/>
      <name val="Aptos Narrow"/>
      <family val="2"/>
      <scheme val="minor"/>
    </font>
    <font>
      <u/>
      <sz val="10"/>
      <color rgb="FF0000FF"/>
      <name val="Nunito"/>
    </font>
    <font>
      <sz val="10"/>
      <name val="Nunito"/>
    </font>
    <font>
      <u/>
      <sz val="10"/>
      <color rgb="FF1155CC"/>
      <name val="Nunito"/>
    </font>
    <font>
      <sz val="9"/>
      <color rgb="FF000000"/>
      <name val="Nunito"/>
    </font>
  </fonts>
  <fills count="6">
    <fill>
      <patternFill patternType="none"/>
    </fill>
    <fill>
      <patternFill patternType="gray125"/>
    </fill>
    <fill>
      <patternFill patternType="solid">
        <fgColor rgb="FF741B47"/>
        <bgColor rgb="FF741B47"/>
      </patternFill>
    </fill>
    <fill>
      <patternFill patternType="solid">
        <fgColor rgb="FFEAD1DC"/>
        <bgColor rgb="FFEAD1DC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58">
    <xf numFmtId="0" fontId="0" fillId="0" borderId="0" xfId="0"/>
    <xf numFmtId="0" fontId="1" fillId="0" borderId="0" xfId="0" applyFont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6" fillId="5" borderId="6" xfId="0" applyFont="1" applyFill="1" applyBorder="1" applyAlignment="1">
      <alignment horizontal="center" vertical="center" wrapText="1"/>
    </xf>
    <xf numFmtId="0" fontId="6" fillId="5" borderId="6" xfId="0" applyFont="1" applyFill="1" applyBorder="1"/>
    <xf numFmtId="0" fontId="7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2" fontId="6" fillId="0" borderId="6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8" fillId="0" borderId="0" xfId="0" applyFont="1"/>
    <xf numFmtId="0" fontId="9" fillId="0" borderId="6" xfId="0" applyFont="1" applyBorder="1" applyAlignment="1">
      <alignment horizontal="center" vertical="center" wrapText="1"/>
    </xf>
    <xf numFmtId="0" fontId="9" fillId="0" borderId="0" xfId="0" applyFont="1" applyAlignment="1">
      <alignment wrapText="1"/>
    </xf>
    <xf numFmtId="0" fontId="10" fillId="0" borderId="0" xfId="0" applyFont="1"/>
    <xf numFmtId="0" fontId="10" fillId="0" borderId="6" xfId="0" applyFont="1" applyBorder="1" applyAlignment="1">
      <alignment horizontal="center" vertical="center" wrapText="1"/>
    </xf>
    <xf numFmtId="0" fontId="6" fillId="0" borderId="6" xfId="0" applyFont="1" applyBorder="1"/>
    <xf numFmtId="0" fontId="13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6" fillId="5" borderId="6" xfId="0" applyFont="1" applyFill="1" applyBorder="1" applyAlignment="1">
      <alignment vertical="center"/>
    </xf>
    <xf numFmtId="0" fontId="14" fillId="0" borderId="0" xfId="0" applyFont="1"/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left" vertical="center" wrapText="1"/>
    </xf>
    <xf numFmtId="0" fontId="21" fillId="0" borderId="0" xfId="0" applyFont="1" applyAlignment="1">
      <alignment horizontal="center"/>
    </xf>
    <xf numFmtId="0" fontId="3" fillId="3" borderId="12" xfId="0" applyFont="1" applyFill="1" applyBorder="1" applyAlignment="1">
      <alignment horizontal="center" vertical="center" wrapText="1"/>
    </xf>
    <xf numFmtId="0" fontId="2" fillId="0" borderId="0" xfId="0" applyFont="1"/>
    <xf numFmtId="0" fontId="21" fillId="0" borderId="12" xfId="0" applyFont="1" applyBorder="1" applyAlignment="1">
      <alignment horizontal="left"/>
    </xf>
    <xf numFmtId="0" fontId="5" fillId="0" borderId="1" xfId="0" applyFont="1" applyBorder="1" applyAlignment="1">
      <alignment horizontal="center" vertical="center" wrapText="1"/>
    </xf>
    <xf numFmtId="0" fontId="2" fillId="0" borderId="5" xfId="0" applyFont="1" applyBorder="1"/>
    <xf numFmtId="0" fontId="15" fillId="3" borderId="1" xfId="0" applyFont="1" applyFill="1" applyBorder="1" applyAlignment="1">
      <alignment horizontal="center" vertical="center"/>
    </xf>
    <xf numFmtId="0" fontId="2" fillId="0" borderId="11" xfId="0" applyFont="1" applyBorder="1"/>
    <xf numFmtId="0" fontId="2" fillId="0" borderId="7" xfId="0" applyFont="1" applyBorder="1"/>
    <xf numFmtId="0" fontId="11" fillId="0" borderId="8" xfId="1" applyBorder="1" applyAlignment="1">
      <alignment horizontal="left" vertical="center" wrapText="1"/>
    </xf>
    <xf numFmtId="0" fontId="11" fillId="0" borderId="9" xfId="1" applyBorder="1"/>
    <xf numFmtId="0" fontId="11" fillId="0" borderId="10" xfId="1" applyBorder="1"/>
    <xf numFmtId="0" fontId="18" fillId="0" borderId="12" xfId="0" applyFont="1" applyBorder="1" applyAlignment="1">
      <alignment horizontal="left" vertical="center" wrapText="1"/>
    </xf>
    <xf numFmtId="0" fontId="2" fillId="0" borderId="12" xfId="0" applyFont="1" applyBorder="1"/>
    <xf numFmtId="0" fontId="18" fillId="0" borderId="13" xfId="0" applyFont="1" applyBorder="1" applyAlignment="1">
      <alignment vertical="center" wrapText="1"/>
    </xf>
    <xf numFmtId="0" fontId="2" fillId="0" borderId="14" xfId="0" applyFont="1" applyBorder="1"/>
    <xf numFmtId="0" fontId="2" fillId="0" borderId="15" xfId="0" applyFont="1" applyBorder="1"/>
    <xf numFmtId="0" fontId="18" fillId="0" borderId="2" xfId="0" applyFont="1" applyBorder="1" applyAlignment="1">
      <alignment vertical="center" wrapText="1"/>
    </xf>
    <xf numFmtId="0" fontId="2" fillId="0" borderId="3" xfId="0" applyFont="1" applyBorder="1"/>
    <xf numFmtId="0" fontId="2" fillId="0" borderId="4" xfId="0" applyFont="1" applyBorder="1"/>
    <xf numFmtId="0" fontId="16" fillId="0" borderId="2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11" fillId="0" borderId="0" xfId="1" applyAlignment="1">
      <alignment horizontal="center" vertical="center" wrapText="1"/>
    </xf>
    <xf numFmtId="0" fontId="11" fillId="0" borderId="0" xfId="1"/>
    <xf numFmtId="0" fontId="3" fillId="3" borderId="2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0" fontId="1" fillId="0" borderId="0" xfId="0" applyFont="1" applyAlignment="1">
      <alignment horizontal="center" vertical="center" wrapText="1"/>
    </xf>
    <xf numFmtId="0" fontId="4" fillId="3" borderId="0" xfId="0" applyFont="1" applyFill="1" applyAlignment="1">
      <alignment horizontal="center" vertical="center"/>
    </xf>
    <xf numFmtId="0" fontId="0" fillId="0" borderId="0" xfId="0"/>
    <xf numFmtId="0" fontId="3" fillId="0" borderId="0" xfId="0" applyFont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negi.org.mx/programas/ccpv/2020/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www.banxico.org.mx/SieInternet/consultarDirectorioInternetAction.do?sector=1&amp;accion=consultarCuadro&amp;idCuadro=CE166&amp;locale=es" TargetMode="External"/><Relationship Id="rId1" Type="http://schemas.openxmlformats.org/officeDocument/2006/relationships/hyperlink" Target="https://datos.gob.mx/busca/dataset/indices-de-intensidad-migratoria-mexico-estados-unidos/resource/f285f181-c920-4f9d-b99c-e823f1d93a3a" TargetMode="External"/><Relationship Id="rId6" Type="http://schemas.openxmlformats.org/officeDocument/2006/relationships/hyperlink" Target="https://ipam.puebla.gob.mx/" TargetMode="External"/><Relationship Id="rId5" Type="http://schemas.openxmlformats.org/officeDocument/2006/relationships/hyperlink" Target="https://www.gob.mx/conapo/documentos/indices-de-intensidad-migratoria-mexico-estados-unidos-2020" TargetMode="External"/><Relationship Id="rId4" Type="http://schemas.openxmlformats.org/officeDocument/2006/relationships/hyperlink" Target="http://www.conapo.gob.mx/work/models/CONAPO/intensidad_migratoria/anexos/Anexo_B2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96686-6231-46DB-9531-8EB47262DCF1}">
  <sheetPr>
    <tabColor theme="7"/>
    <outlinePr summaryBelow="0" summaryRight="0"/>
  </sheetPr>
  <dimension ref="A1:AC1001"/>
  <sheetViews>
    <sheetView tabSelected="1" zoomScaleNormal="100" workbookViewId="0">
      <pane ySplit="4" topLeftCell="A5" activePane="bottomLeft" state="frozen"/>
      <selection pane="bottomLeft" activeCell="B3" sqref="B3:B4"/>
    </sheetView>
  </sheetViews>
  <sheetFormatPr baseColWidth="10" defaultColWidth="12.7109375" defaultRowHeight="15" customHeight="1"/>
  <cols>
    <col min="1" max="1" width="14.7109375" customWidth="1"/>
    <col min="2" max="2" width="5.7109375" customWidth="1"/>
    <col min="3" max="3" width="22.85546875" customWidth="1"/>
    <col min="4" max="4" width="12" customWidth="1"/>
    <col min="5" max="6" width="18" customWidth="1"/>
    <col min="7" max="7" width="13.28515625" customWidth="1"/>
    <col min="8" max="8" width="14.140625" customWidth="1"/>
    <col min="9" max="9" width="14.7109375" customWidth="1"/>
    <col min="10" max="10" width="13.140625" customWidth="1"/>
    <col min="11" max="11" width="15.42578125" customWidth="1"/>
    <col min="12" max="12" width="14.7109375" customWidth="1"/>
    <col min="13" max="13" width="16.140625" customWidth="1"/>
    <col min="14" max="14" width="10.28515625" customWidth="1"/>
    <col min="15" max="15" width="12.42578125" customWidth="1"/>
    <col min="16" max="16" width="17.85546875" customWidth="1"/>
    <col min="17" max="17" width="12.7109375" customWidth="1"/>
    <col min="18" max="18" width="26.7109375" customWidth="1"/>
    <col min="19" max="22" width="17.85546875" customWidth="1"/>
  </cols>
  <sheetData>
    <row r="1" spans="1:29" ht="27" customHeight="1">
      <c r="A1" s="52" t="s">
        <v>0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1"/>
      <c r="Q1" s="1"/>
      <c r="R1" s="1"/>
      <c r="S1" s="1"/>
      <c r="T1" s="1"/>
      <c r="U1" s="1"/>
      <c r="V1" s="1"/>
      <c r="W1" s="54"/>
      <c r="X1" s="53"/>
      <c r="Y1" s="53"/>
      <c r="Z1" s="53"/>
      <c r="AA1" s="53"/>
      <c r="AB1" s="53"/>
      <c r="AC1" s="53"/>
    </row>
    <row r="2" spans="1:29" ht="15.75" customHeight="1">
      <c r="A2" s="2"/>
      <c r="B2" s="2"/>
      <c r="C2" s="2"/>
      <c r="D2" s="55" t="s">
        <v>1</v>
      </c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7"/>
      <c r="Q2" s="56"/>
      <c r="R2" s="56"/>
      <c r="S2" s="56"/>
      <c r="T2" s="56"/>
      <c r="U2" s="56"/>
      <c r="V2" s="56"/>
      <c r="W2" s="56"/>
    </row>
    <row r="3" spans="1:29" ht="62.25" customHeight="1">
      <c r="A3" s="49" t="s">
        <v>2</v>
      </c>
      <c r="B3" s="49" t="s">
        <v>3</v>
      </c>
      <c r="C3" s="49" t="s">
        <v>4</v>
      </c>
      <c r="D3" s="49" t="s">
        <v>5</v>
      </c>
      <c r="E3" s="49" t="s">
        <v>6</v>
      </c>
      <c r="F3" s="49" t="s">
        <v>7</v>
      </c>
      <c r="G3" s="48" t="s">
        <v>8</v>
      </c>
      <c r="H3" s="42"/>
      <c r="I3" s="42"/>
      <c r="J3" s="42"/>
      <c r="K3" s="43"/>
      <c r="L3" s="48" t="s">
        <v>9</v>
      </c>
      <c r="M3" s="42"/>
      <c r="N3" s="43"/>
      <c r="O3" s="49" t="s">
        <v>10</v>
      </c>
      <c r="P3" s="3"/>
      <c r="Q3" s="3"/>
      <c r="R3" s="4"/>
      <c r="S3" s="3"/>
      <c r="T3" s="3"/>
      <c r="U3" s="3"/>
      <c r="V3" s="3"/>
    </row>
    <row r="4" spans="1:29" ht="68.25" customHeight="1">
      <c r="A4" s="29"/>
      <c r="B4" s="29"/>
      <c r="C4" s="29"/>
      <c r="D4" s="29"/>
      <c r="E4" s="29"/>
      <c r="F4" s="29"/>
      <c r="G4" s="5" t="s">
        <v>11</v>
      </c>
      <c r="H4" s="5" t="s">
        <v>12</v>
      </c>
      <c r="I4" s="5" t="s">
        <v>13</v>
      </c>
      <c r="J4" s="5" t="s">
        <v>14</v>
      </c>
      <c r="K4" s="5" t="s">
        <v>15</v>
      </c>
      <c r="L4" s="5" t="s">
        <v>16</v>
      </c>
      <c r="M4" s="5" t="s">
        <v>17</v>
      </c>
      <c r="N4" s="5" t="s">
        <v>18</v>
      </c>
      <c r="O4" s="50"/>
      <c r="P4" s="3"/>
      <c r="Q4" s="5"/>
      <c r="R4" s="5" t="s">
        <v>19</v>
      </c>
      <c r="S4" s="5" t="s">
        <v>20</v>
      </c>
      <c r="T4" s="3"/>
      <c r="U4" s="3"/>
      <c r="V4" s="3"/>
    </row>
    <row r="5" spans="1:29" ht="24.95" customHeight="1">
      <c r="A5" s="28" t="s">
        <v>21</v>
      </c>
      <c r="B5" s="6">
        <v>1</v>
      </c>
      <c r="C5" s="7" t="s">
        <v>22</v>
      </c>
      <c r="D5" s="8" t="s">
        <v>23</v>
      </c>
      <c r="E5" s="9">
        <v>194</v>
      </c>
      <c r="F5" s="9">
        <v>1992</v>
      </c>
      <c r="G5" s="9">
        <v>427</v>
      </c>
      <c r="H5" s="9">
        <v>248</v>
      </c>
      <c r="I5" s="10">
        <f t="shared" ref="I5:I80" si="0">(H5/G5)*100</f>
        <v>58.079625292740047</v>
      </c>
      <c r="J5" s="9">
        <v>179</v>
      </c>
      <c r="K5" s="10">
        <f t="shared" ref="K5:K80" si="1">(J5/G5)*100</f>
        <v>41.920374707259953</v>
      </c>
      <c r="L5" s="9">
        <v>2495</v>
      </c>
      <c r="M5" s="10">
        <v>1.6833667329999999</v>
      </c>
      <c r="N5" s="10">
        <f t="shared" ref="N5:N80" si="2">(M5/L5)*100</f>
        <v>6.7469608537074136E-2</v>
      </c>
      <c r="O5" s="9">
        <v>0</v>
      </c>
      <c r="P5" s="11"/>
      <c r="Q5" s="45" t="s">
        <v>24</v>
      </c>
      <c r="R5" s="9" t="s">
        <v>25</v>
      </c>
      <c r="S5" s="45" t="s">
        <v>26</v>
      </c>
      <c r="T5" s="11"/>
      <c r="U5" s="11"/>
      <c r="V5" s="11"/>
      <c r="W5" s="12"/>
      <c r="X5" s="12"/>
      <c r="Y5" s="12"/>
      <c r="Z5" s="12"/>
      <c r="AA5" s="12"/>
      <c r="AB5" s="12"/>
      <c r="AC5" s="12"/>
    </row>
    <row r="6" spans="1:29" ht="24.95" customHeight="1">
      <c r="A6" s="32"/>
      <c r="B6" s="6">
        <v>2</v>
      </c>
      <c r="C6" s="7" t="s">
        <v>27</v>
      </c>
      <c r="D6" s="8" t="s">
        <v>23</v>
      </c>
      <c r="E6" s="9">
        <v>72</v>
      </c>
      <c r="F6" s="9">
        <v>1735</v>
      </c>
      <c r="G6" s="9">
        <v>778</v>
      </c>
      <c r="H6" s="9">
        <v>422</v>
      </c>
      <c r="I6" s="10">
        <f t="shared" si="0"/>
        <v>54.241645244215938</v>
      </c>
      <c r="J6" s="9">
        <v>356</v>
      </c>
      <c r="K6" s="10">
        <f t="shared" si="1"/>
        <v>45.758354755784062</v>
      </c>
      <c r="L6" s="9">
        <v>3092</v>
      </c>
      <c r="M6" s="9">
        <v>3.7876335380000001</v>
      </c>
      <c r="N6" s="10">
        <f t="shared" si="2"/>
        <v>0.12249785051746444</v>
      </c>
      <c r="O6" s="9">
        <v>0</v>
      </c>
      <c r="P6" s="11"/>
      <c r="Q6" s="32"/>
      <c r="R6" s="9" t="s">
        <v>28</v>
      </c>
      <c r="S6" s="32"/>
      <c r="T6" s="11"/>
      <c r="U6" s="11"/>
      <c r="V6" s="11"/>
      <c r="W6" s="12"/>
      <c r="X6" s="12"/>
      <c r="Y6" s="12"/>
      <c r="Z6" s="12"/>
      <c r="AA6" s="12"/>
      <c r="AB6" s="12"/>
      <c r="AC6" s="12"/>
    </row>
    <row r="7" spans="1:29" ht="24.95" customHeight="1">
      <c r="A7" s="32"/>
      <c r="B7" s="6">
        <v>3</v>
      </c>
      <c r="C7" s="7" t="s">
        <v>29</v>
      </c>
      <c r="D7" s="8" t="s">
        <v>30</v>
      </c>
      <c r="E7" s="9">
        <v>168</v>
      </c>
      <c r="F7" s="9">
        <v>1517</v>
      </c>
      <c r="G7" s="9">
        <v>2056</v>
      </c>
      <c r="H7" s="9">
        <v>1052</v>
      </c>
      <c r="I7" s="10">
        <f t="shared" si="0"/>
        <v>51.167315175097272</v>
      </c>
      <c r="J7" s="9">
        <v>1004</v>
      </c>
      <c r="K7" s="10">
        <f t="shared" si="1"/>
        <v>48.832684824902721</v>
      </c>
      <c r="L7" s="9">
        <v>5360</v>
      </c>
      <c r="M7" s="9">
        <v>2.9850746269999999</v>
      </c>
      <c r="N7" s="10">
        <f t="shared" si="2"/>
        <v>5.5691690802238805E-2</v>
      </c>
      <c r="O7" s="9">
        <v>0.42702299999999999</v>
      </c>
      <c r="P7" s="11"/>
      <c r="Q7" s="32"/>
      <c r="R7" s="9" t="s">
        <v>31</v>
      </c>
      <c r="S7" s="32"/>
      <c r="T7" s="11"/>
      <c r="U7" s="11"/>
      <c r="V7" s="11"/>
      <c r="W7" s="12"/>
      <c r="X7" s="12"/>
      <c r="Y7" s="12"/>
      <c r="Z7" s="12"/>
      <c r="AA7" s="12"/>
      <c r="AB7" s="12"/>
      <c r="AC7" s="12"/>
    </row>
    <row r="8" spans="1:29" ht="24.95" customHeight="1">
      <c r="A8" s="32"/>
      <c r="B8" s="6">
        <v>4</v>
      </c>
      <c r="C8" s="7" t="s">
        <v>32</v>
      </c>
      <c r="D8" s="8" t="s">
        <v>23</v>
      </c>
      <c r="E8" s="9">
        <v>130</v>
      </c>
      <c r="F8" s="9">
        <v>1633</v>
      </c>
      <c r="G8" s="9">
        <v>1214</v>
      </c>
      <c r="H8" s="9">
        <v>616</v>
      </c>
      <c r="I8" s="10">
        <f t="shared" si="0"/>
        <v>50.741350906095548</v>
      </c>
      <c r="J8" s="9">
        <v>598</v>
      </c>
      <c r="K8" s="10">
        <f t="shared" si="1"/>
        <v>49.258649093904452</v>
      </c>
      <c r="L8" s="9">
        <v>4704</v>
      </c>
      <c r="M8" s="9">
        <v>4.4458625820000002</v>
      </c>
      <c r="N8" s="10">
        <f t="shared" si="2"/>
        <v>9.4512384821428583E-2</v>
      </c>
      <c r="O8" s="9">
        <v>1.0222999999999999E-2</v>
      </c>
      <c r="P8" s="11"/>
      <c r="Q8" s="32"/>
      <c r="R8" s="9" t="s">
        <v>33</v>
      </c>
      <c r="S8" s="32"/>
      <c r="T8" s="11"/>
      <c r="U8" s="11"/>
      <c r="V8" s="11"/>
      <c r="W8" s="12"/>
      <c r="X8" s="12"/>
      <c r="Y8" s="12"/>
      <c r="Z8" s="12"/>
      <c r="AA8" s="12"/>
      <c r="AB8" s="12"/>
      <c r="AC8" s="12"/>
    </row>
    <row r="9" spans="1:29" ht="24.95" customHeight="1">
      <c r="A9" s="32"/>
      <c r="B9" s="6">
        <v>5</v>
      </c>
      <c r="C9" s="7" t="s">
        <v>34</v>
      </c>
      <c r="D9" s="8" t="s">
        <v>30</v>
      </c>
      <c r="E9" s="9">
        <v>42</v>
      </c>
      <c r="F9" s="9">
        <v>1331</v>
      </c>
      <c r="G9" s="9">
        <v>2692</v>
      </c>
      <c r="H9" s="9">
        <v>1391</v>
      </c>
      <c r="I9" s="10">
        <f t="shared" si="0"/>
        <v>51.671619613670138</v>
      </c>
      <c r="J9" s="9">
        <v>1301</v>
      </c>
      <c r="K9" s="10">
        <f t="shared" si="1"/>
        <v>48.328380386329869</v>
      </c>
      <c r="L9" s="9">
        <v>5359</v>
      </c>
      <c r="M9" s="9">
        <v>6.2325060649999999</v>
      </c>
      <c r="N9" s="10">
        <f t="shared" si="2"/>
        <v>0.11629979595073707</v>
      </c>
      <c r="O9" s="9">
        <v>2.170363</v>
      </c>
      <c r="P9" s="11"/>
      <c r="Q9" s="32"/>
      <c r="R9" s="9" t="s">
        <v>35</v>
      </c>
      <c r="S9" s="32"/>
      <c r="T9" s="11"/>
      <c r="U9" s="11"/>
      <c r="V9" s="11"/>
      <c r="W9" s="12"/>
      <c r="X9" s="12"/>
      <c r="Y9" s="12"/>
      <c r="Z9" s="12"/>
      <c r="AA9" s="12"/>
      <c r="AB9" s="12"/>
      <c r="AC9" s="12"/>
    </row>
    <row r="10" spans="1:29" ht="24.95" customHeight="1">
      <c r="A10" s="29"/>
      <c r="B10" s="6">
        <v>6</v>
      </c>
      <c r="C10" s="7" t="s">
        <v>36</v>
      </c>
      <c r="D10" s="8" t="s">
        <v>23</v>
      </c>
      <c r="E10" s="9">
        <v>156</v>
      </c>
      <c r="F10" s="9">
        <v>2014</v>
      </c>
      <c r="G10" s="9">
        <v>7093</v>
      </c>
      <c r="H10" s="9">
        <v>3776</v>
      </c>
      <c r="I10" s="10">
        <f t="shared" si="0"/>
        <v>53.235584378965171</v>
      </c>
      <c r="J10" s="9">
        <v>3317</v>
      </c>
      <c r="K10" s="10">
        <f t="shared" si="1"/>
        <v>46.764415621034821</v>
      </c>
      <c r="L10" s="9">
        <v>21612</v>
      </c>
      <c r="M10" s="9">
        <v>2.70220248</v>
      </c>
      <c r="N10" s="10">
        <f t="shared" si="2"/>
        <v>1.2503250416435314E-2</v>
      </c>
      <c r="O10" s="9">
        <v>7.7356680000000004</v>
      </c>
      <c r="P10" s="11"/>
      <c r="Q10" s="32"/>
      <c r="R10" s="45" t="s">
        <v>37</v>
      </c>
      <c r="S10" s="32"/>
      <c r="T10" s="11"/>
      <c r="U10" s="11"/>
      <c r="V10" s="11"/>
      <c r="W10" s="12"/>
      <c r="X10" s="12"/>
      <c r="Y10" s="12"/>
      <c r="Z10" s="12"/>
      <c r="AA10" s="12"/>
      <c r="AB10" s="12"/>
      <c r="AC10" s="12"/>
    </row>
    <row r="11" spans="1:29" ht="24.95" customHeight="1">
      <c r="A11" s="28" t="s">
        <v>38</v>
      </c>
      <c r="B11" s="6">
        <v>7</v>
      </c>
      <c r="C11" s="7" t="s">
        <v>39</v>
      </c>
      <c r="D11" s="8" t="s">
        <v>40</v>
      </c>
      <c r="E11" s="9">
        <v>96</v>
      </c>
      <c r="F11" s="9">
        <v>764</v>
      </c>
      <c r="G11" s="9">
        <v>205</v>
      </c>
      <c r="H11" s="9">
        <v>125</v>
      </c>
      <c r="I11" s="10">
        <f t="shared" si="0"/>
        <v>60.975609756097562</v>
      </c>
      <c r="J11" s="9">
        <v>80</v>
      </c>
      <c r="K11" s="10">
        <f t="shared" si="1"/>
        <v>39.024390243902438</v>
      </c>
      <c r="L11" s="9">
        <v>1670</v>
      </c>
      <c r="M11" s="9">
        <v>7.6047904190000004</v>
      </c>
      <c r="N11" s="10">
        <f t="shared" si="2"/>
        <v>0.45537667179640717</v>
      </c>
      <c r="O11" s="9">
        <v>0.137207</v>
      </c>
      <c r="P11" s="11"/>
      <c r="Q11" s="32"/>
      <c r="R11" s="51"/>
      <c r="S11" s="32"/>
      <c r="T11" s="11"/>
      <c r="U11" s="11"/>
      <c r="V11" s="11"/>
      <c r="W11" s="12"/>
      <c r="X11" s="12"/>
      <c r="Y11" s="12"/>
      <c r="Z11" s="12"/>
      <c r="AA11" s="12"/>
      <c r="AB11" s="12"/>
      <c r="AC11" s="12"/>
    </row>
    <row r="12" spans="1:29" ht="24.95" customHeight="1">
      <c r="A12" s="32"/>
      <c r="B12" s="6">
        <v>8</v>
      </c>
      <c r="C12" s="7" t="s">
        <v>41</v>
      </c>
      <c r="D12" s="8" t="s">
        <v>23</v>
      </c>
      <c r="E12" s="9">
        <v>145</v>
      </c>
      <c r="F12" s="9">
        <v>1794</v>
      </c>
      <c r="G12" s="9">
        <v>384</v>
      </c>
      <c r="H12" s="9">
        <v>219</v>
      </c>
      <c r="I12" s="10">
        <f t="shared" si="0"/>
        <v>57.03125</v>
      </c>
      <c r="J12" s="9">
        <v>165</v>
      </c>
      <c r="K12" s="10">
        <f t="shared" si="1"/>
        <v>42.96875</v>
      </c>
      <c r="L12" s="9">
        <v>4176</v>
      </c>
      <c r="M12" s="9">
        <v>1.8438697319999999</v>
      </c>
      <c r="N12" s="10">
        <f t="shared" si="2"/>
        <v>4.4153968678160918E-2</v>
      </c>
      <c r="O12" s="9">
        <v>0</v>
      </c>
      <c r="P12" s="11"/>
      <c r="Q12" s="29"/>
      <c r="R12" s="9" t="s">
        <v>42</v>
      </c>
      <c r="S12" s="32"/>
      <c r="T12" s="11"/>
      <c r="U12" s="11"/>
      <c r="V12" s="11"/>
      <c r="W12" s="12"/>
      <c r="X12" s="12"/>
      <c r="Y12" s="12"/>
      <c r="Z12" s="12"/>
      <c r="AA12" s="12"/>
      <c r="AB12" s="12"/>
      <c r="AC12" s="12"/>
    </row>
    <row r="13" spans="1:29" ht="24.95" customHeight="1">
      <c r="A13" s="32"/>
      <c r="B13" s="6">
        <v>9</v>
      </c>
      <c r="C13" s="7" t="s">
        <v>43</v>
      </c>
      <c r="D13" s="8" t="s">
        <v>23</v>
      </c>
      <c r="E13" s="13">
        <v>146</v>
      </c>
      <c r="F13" s="13">
        <v>1781</v>
      </c>
      <c r="G13" s="9">
        <v>544</v>
      </c>
      <c r="H13" s="9">
        <v>303</v>
      </c>
      <c r="I13" s="10">
        <f t="shared" si="0"/>
        <v>55.69852941176471</v>
      </c>
      <c r="J13" s="9">
        <v>241</v>
      </c>
      <c r="K13" s="10">
        <f t="shared" si="1"/>
        <v>44.30147058823529</v>
      </c>
      <c r="L13" s="13">
        <v>5105</v>
      </c>
      <c r="M13" s="13">
        <v>2.3132719069999998</v>
      </c>
      <c r="N13" s="10">
        <f t="shared" si="2"/>
        <v>4.5313847345739469E-2</v>
      </c>
      <c r="O13" s="13">
        <v>0</v>
      </c>
      <c r="P13" s="11"/>
      <c r="Q13" s="45" t="s">
        <v>44</v>
      </c>
      <c r="R13" s="9" t="s">
        <v>45</v>
      </c>
      <c r="S13" s="32"/>
      <c r="T13" s="11"/>
      <c r="U13" s="11"/>
      <c r="V13" s="14"/>
      <c r="W13" s="12"/>
      <c r="X13" s="12"/>
      <c r="Y13" s="12"/>
      <c r="Z13" s="12"/>
      <c r="AA13" s="12"/>
      <c r="AB13" s="12"/>
      <c r="AC13" s="12"/>
    </row>
    <row r="14" spans="1:29" ht="24.95" customHeight="1">
      <c r="A14" s="32"/>
      <c r="B14" s="6">
        <v>10</v>
      </c>
      <c r="C14" s="7" t="s">
        <v>46</v>
      </c>
      <c r="D14" s="8" t="s">
        <v>30</v>
      </c>
      <c r="E14" s="9">
        <v>69</v>
      </c>
      <c r="F14" s="9">
        <v>1268</v>
      </c>
      <c r="G14" s="9">
        <v>548</v>
      </c>
      <c r="H14" s="9">
        <v>286</v>
      </c>
      <c r="I14" s="10">
        <f t="shared" si="0"/>
        <v>52.189781021897808</v>
      </c>
      <c r="J14" s="9">
        <v>262</v>
      </c>
      <c r="K14" s="10">
        <f t="shared" si="1"/>
        <v>47.810218978102192</v>
      </c>
      <c r="L14" s="9">
        <v>3236</v>
      </c>
      <c r="M14" s="9">
        <v>7.0766378239999996</v>
      </c>
      <c r="N14" s="10">
        <f t="shared" si="2"/>
        <v>0.21868472880098885</v>
      </c>
      <c r="O14" s="9">
        <v>0</v>
      </c>
      <c r="P14" s="11"/>
      <c r="Q14" s="32"/>
      <c r="R14" s="9" t="s">
        <v>47</v>
      </c>
      <c r="S14" s="32"/>
      <c r="T14" s="11"/>
      <c r="U14" s="11"/>
      <c r="V14" s="15"/>
      <c r="W14" s="12"/>
      <c r="X14" s="12"/>
      <c r="Y14" s="12"/>
      <c r="Z14" s="12"/>
      <c r="AA14" s="12"/>
      <c r="AB14" s="12"/>
      <c r="AC14" s="12"/>
    </row>
    <row r="15" spans="1:29" ht="24.95" customHeight="1">
      <c r="A15" s="29"/>
      <c r="B15" s="6">
        <v>11</v>
      </c>
      <c r="C15" s="7" t="s">
        <v>48</v>
      </c>
      <c r="D15" s="8" t="s">
        <v>23</v>
      </c>
      <c r="E15" s="9">
        <v>144</v>
      </c>
      <c r="F15" s="9">
        <v>1715</v>
      </c>
      <c r="G15" s="9">
        <v>9113</v>
      </c>
      <c r="H15" s="9">
        <v>4929</v>
      </c>
      <c r="I15" s="10">
        <f t="shared" si="0"/>
        <v>54.087567211675626</v>
      </c>
      <c r="J15" s="9">
        <v>4184</v>
      </c>
      <c r="K15" s="10">
        <f t="shared" si="1"/>
        <v>45.912432788324367</v>
      </c>
      <c r="L15" s="9">
        <v>27821</v>
      </c>
      <c r="M15" s="9">
        <v>2.4657632719999998</v>
      </c>
      <c r="N15" s="10">
        <f t="shared" si="2"/>
        <v>8.8629570180798669E-3</v>
      </c>
      <c r="O15" s="9">
        <v>10.570479000000001</v>
      </c>
      <c r="P15" s="11"/>
      <c r="Q15" s="32"/>
      <c r="R15" s="9" t="s">
        <v>49</v>
      </c>
      <c r="S15" s="32"/>
      <c r="T15" s="11"/>
      <c r="U15" s="11"/>
      <c r="V15" s="11"/>
      <c r="W15" s="12"/>
      <c r="X15" s="12"/>
      <c r="Y15" s="12"/>
      <c r="Z15" s="12"/>
      <c r="AA15" s="12"/>
      <c r="AB15" s="12"/>
      <c r="AC15" s="12"/>
    </row>
    <row r="16" spans="1:29" ht="24.95" customHeight="1">
      <c r="A16" s="28" t="s">
        <v>50</v>
      </c>
      <c r="B16" s="6">
        <v>12</v>
      </c>
      <c r="C16" s="7" t="s">
        <v>51</v>
      </c>
      <c r="D16" s="8" t="s">
        <v>23</v>
      </c>
      <c r="E16" s="9">
        <v>188</v>
      </c>
      <c r="F16" s="9">
        <v>2260</v>
      </c>
      <c r="G16" s="9">
        <v>91</v>
      </c>
      <c r="H16" s="9">
        <v>50</v>
      </c>
      <c r="I16" s="10">
        <f t="shared" si="0"/>
        <v>54.945054945054949</v>
      </c>
      <c r="J16" s="9">
        <v>41</v>
      </c>
      <c r="K16" s="10">
        <f t="shared" si="1"/>
        <v>45.054945054945058</v>
      </c>
      <c r="L16" s="9">
        <v>1047</v>
      </c>
      <c r="M16" s="9">
        <v>1.146131805</v>
      </c>
      <c r="N16" s="10">
        <f t="shared" si="2"/>
        <v>0.10946817621776503</v>
      </c>
      <c r="O16" s="9">
        <v>0</v>
      </c>
      <c r="P16" s="11"/>
      <c r="Q16" s="32"/>
      <c r="R16" s="9" t="s">
        <v>52</v>
      </c>
      <c r="S16" s="32"/>
      <c r="T16" s="11"/>
      <c r="U16" s="11"/>
      <c r="V16" s="11"/>
      <c r="W16" s="12"/>
      <c r="X16" s="12"/>
      <c r="Y16" s="12"/>
      <c r="Z16" s="12"/>
      <c r="AA16" s="12"/>
      <c r="AB16" s="12"/>
      <c r="AC16" s="12"/>
    </row>
    <row r="17" spans="1:29" ht="24.95" customHeight="1">
      <c r="A17" s="32"/>
      <c r="B17" s="6">
        <v>13</v>
      </c>
      <c r="C17" s="7" t="s">
        <v>53</v>
      </c>
      <c r="D17" s="8" t="s">
        <v>23</v>
      </c>
      <c r="E17" s="9">
        <v>161</v>
      </c>
      <c r="F17" s="9">
        <v>1668</v>
      </c>
      <c r="G17" s="9">
        <v>69</v>
      </c>
      <c r="H17" s="9">
        <v>35</v>
      </c>
      <c r="I17" s="10">
        <f t="shared" si="0"/>
        <v>50.724637681159422</v>
      </c>
      <c r="J17" s="9">
        <v>34</v>
      </c>
      <c r="K17" s="10">
        <f t="shared" si="1"/>
        <v>49.275362318840585</v>
      </c>
      <c r="L17" s="9">
        <v>2016</v>
      </c>
      <c r="M17" s="9">
        <v>5.3624627609999997</v>
      </c>
      <c r="N17" s="10">
        <f t="shared" si="2"/>
        <v>0.26599517663690475</v>
      </c>
      <c r="O17" s="9">
        <v>0</v>
      </c>
      <c r="P17" s="11"/>
      <c r="Q17" s="32"/>
      <c r="R17" s="9" t="s">
        <v>54</v>
      </c>
      <c r="S17" s="32"/>
      <c r="T17" s="11"/>
      <c r="U17" s="11"/>
      <c r="V17" s="11"/>
      <c r="W17" s="12"/>
      <c r="X17" s="12"/>
      <c r="Y17" s="12"/>
      <c r="Z17" s="12"/>
      <c r="AA17" s="12"/>
      <c r="AB17" s="12"/>
      <c r="AC17" s="12"/>
    </row>
    <row r="18" spans="1:29" ht="24.95" customHeight="1">
      <c r="A18" s="32"/>
      <c r="B18" s="6">
        <v>14</v>
      </c>
      <c r="C18" s="7" t="s">
        <v>55</v>
      </c>
      <c r="D18" s="8" t="s">
        <v>23</v>
      </c>
      <c r="E18" s="9">
        <v>214</v>
      </c>
      <c r="F18" s="9">
        <v>2309</v>
      </c>
      <c r="G18" s="9">
        <v>19</v>
      </c>
      <c r="H18" s="9">
        <v>12</v>
      </c>
      <c r="I18" s="10">
        <f t="shared" si="0"/>
        <v>63.157894736842103</v>
      </c>
      <c r="J18" s="9">
        <v>7</v>
      </c>
      <c r="K18" s="10">
        <f t="shared" si="1"/>
        <v>36.84210526315789</v>
      </c>
      <c r="L18" s="9">
        <v>727</v>
      </c>
      <c r="M18" s="9">
        <v>1.100412655</v>
      </c>
      <c r="N18" s="10">
        <f t="shared" si="2"/>
        <v>0.15136350137551582</v>
      </c>
      <c r="O18" s="9">
        <v>0</v>
      </c>
      <c r="P18" s="11"/>
      <c r="Q18" s="32"/>
      <c r="R18" s="9" t="s">
        <v>56</v>
      </c>
      <c r="S18" s="32"/>
      <c r="T18" s="11"/>
      <c r="U18" s="11"/>
      <c r="V18" s="11"/>
      <c r="W18" s="12"/>
      <c r="X18" s="12"/>
      <c r="Y18" s="12"/>
      <c r="Z18" s="12"/>
      <c r="AA18" s="12"/>
      <c r="AB18" s="12"/>
      <c r="AC18" s="12"/>
    </row>
    <row r="19" spans="1:29" ht="24.95" customHeight="1">
      <c r="A19" s="32"/>
      <c r="B19" s="6">
        <v>15</v>
      </c>
      <c r="C19" s="7" t="s">
        <v>57</v>
      </c>
      <c r="D19" s="8" t="s">
        <v>30</v>
      </c>
      <c r="E19" s="9">
        <v>115</v>
      </c>
      <c r="F19" s="9">
        <v>1526</v>
      </c>
      <c r="G19" s="9">
        <v>102</v>
      </c>
      <c r="H19" s="9">
        <v>62</v>
      </c>
      <c r="I19" s="10">
        <f t="shared" si="0"/>
        <v>60.784313725490193</v>
      </c>
      <c r="J19" s="9">
        <v>40</v>
      </c>
      <c r="K19" s="10">
        <f t="shared" si="1"/>
        <v>39.215686274509807</v>
      </c>
      <c r="L19" s="9">
        <v>1352</v>
      </c>
      <c r="M19" s="9">
        <v>3.9201183429999999</v>
      </c>
      <c r="N19" s="10">
        <f t="shared" si="2"/>
        <v>0.28994958158284023</v>
      </c>
      <c r="O19" s="9">
        <v>5.9199999999999997E-4</v>
      </c>
      <c r="P19" s="11"/>
      <c r="Q19" s="29"/>
      <c r="R19" s="9" t="s">
        <v>58</v>
      </c>
      <c r="S19" s="32"/>
      <c r="T19" s="11"/>
      <c r="U19" s="11"/>
      <c r="V19" s="11"/>
      <c r="W19" s="12"/>
      <c r="X19" s="12"/>
      <c r="Y19" s="12"/>
      <c r="Z19" s="12"/>
      <c r="AA19" s="12"/>
      <c r="AB19" s="12"/>
      <c r="AC19" s="12"/>
    </row>
    <row r="20" spans="1:29" ht="24.95" customHeight="1">
      <c r="A20" s="32"/>
      <c r="B20" s="6">
        <v>16</v>
      </c>
      <c r="C20" s="7" t="s">
        <v>59</v>
      </c>
      <c r="D20" s="8" t="s">
        <v>23</v>
      </c>
      <c r="E20" s="9">
        <v>177</v>
      </c>
      <c r="F20" s="9">
        <v>1952</v>
      </c>
      <c r="G20" s="9">
        <v>36</v>
      </c>
      <c r="H20" s="9">
        <v>19</v>
      </c>
      <c r="I20" s="10">
        <f t="shared" si="0"/>
        <v>52.777777777777779</v>
      </c>
      <c r="J20" s="9">
        <v>17</v>
      </c>
      <c r="K20" s="10">
        <f t="shared" si="1"/>
        <v>47.222222222222221</v>
      </c>
      <c r="L20" s="9">
        <v>1071</v>
      </c>
      <c r="M20" s="9">
        <v>2.3342670399999998</v>
      </c>
      <c r="N20" s="10">
        <f t="shared" si="2"/>
        <v>0.2179521045751634</v>
      </c>
      <c r="O20" s="9">
        <v>0</v>
      </c>
      <c r="P20" s="11"/>
      <c r="Q20" s="45" t="s">
        <v>60</v>
      </c>
      <c r="R20" s="9" t="s">
        <v>61</v>
      </c>
      <c r="S20" s="32"/>
      <c r="T20" s="11"/>
      <c r="U20" s="11"/>
      <c r="V20" s="11"/>
      <c r="W20" s="12"/>
      <c r="X20" s="12"/>
      <c r="Y20" s="12"/>
      <c r="Z20" s="12"/>
      <c r="AA20" s="12"/>
      <c r="AB20" s="12"/>
      <c r="AC20" s="12"/>
    </row>
    <row r="21" spans="1:29" ht="24.95" customHeight="1">
      <c r="A21" s="32"/>
      <c r="B21" s="6">
        <v>17</v>
      </c>
      <c r="C21" s="7" t="s">
        <v>62</v>
      </c>
      <c r="D21" s="8" t="s">
        <v>63</v>
      </c>
      <c r="E21" s="9">
        <v>23</v>
      </c>
      <c r="F21" s="9">
        <v>303</v>
      </c>
      <c r="G21" s="9">
        <v>11</v>
      </c>
      <c r="H21" s="9">
        <v>6</v>
      </c>
      <c r="I21" s="10">
        <f t="shared" si="0"/>
        <v>54.54545454545454</v>
      </c>
      <c r="J21" s="9">
        <v>5</v>
      </c>
      <c r="K21" s="10">
        <f t="shared" si="1"/>
        <v>45.454545454545453</v>
      </c>
      <c r="L21" s="9">
        <v>223</v>
      </c>
      <c r="M21" s="9">
        <v>23.76681614</v>
      </c>
      <c r="N21" s="10">
        <f t="shared" si="2"/>
        <v>10.657765085201794</v>
      </c>
      <c r="O21" s="9">
        <v>0</v>
      </c>
      <c r="P21" s="11"/>
      <c r="Q21" s="32"/>
      <c r="R21" s="9" t="s">
        <v>64</v>
      </c>
      <c r="S21" s="32"/>
      <c r="T21" s="11"/>
      <c r="U21" s="11"/>
      <c r="V21" s="11"/>
      <c r="W21" s="12"/>
      <c r="X21" s="12"/>
      <c r="Y21" s="12"/>
      <c r="Z21" s="12"/>
      <c r="AA21" s="12"/>
      <c r="AB21" s="12"/>
      <c r="AC21" s="12"/>
    </row>
    <row r="22" spans="1:29" ht="24.95" customHeight="1">
      <c r="A22" s="32"/>
      <c r="B22" s="6">
        <v>18</v>
      </c>
      <c r="C22" s="7" t="s">
        <v>65</v>
      </c>
      <c r="D22" s="8" t="s">
        <v>23</v>
      </c>
      <c r="E22" s="9">
        <v>169</v>
      </c>
      <c r="F22" s="9">
        <v>2007</v>
      </c>
      <c r="G22" s="9">
        <v>134</v>
      </c>
      <c r="H22" s="9">
        <v>74</v>
      </c>
      <c r="I22" s="10">
        <f t="shared" si="0"/>
        <v>55.223880597014926</v>
      </c>
      <c r="J22" s="9">
        <v>60</v>
      </c>
      <c r="K22" s="10">
        <f t="shared" si="1"/>
        <v>44.776119402985074</v>
      </c>
      <c r="L22" s="9">
        <v>2573</v>
      </c>
      <c r="M22" s="9">
        <v>2.6438569209999998</v>
      </c>
      <c r="N22" s="10">
        <f t="shared" si="2"/>
        <v>0.10275386401088223</v>
      </c>
      <c r="O22" s="9">
        <v>0</v>
      </c>
      <c r="P22" s="11"/>
      <c r="Q22" s="32"/>
      <c r="R22" s="9" t="s">
        <v>66</v>
      </c>
      <c r="S22" s="32"/>
      <c r="T22" s="11"/>
      <c r="U22" s="11"/>
      <c r="V22" s="11"/>
      <c r="W22" s="12"/>
      <c r="X22" s="12"/>
      <c r="Y22" s="12"/>
      <c r="Z22" s="12"/>
      <c r="AA22" s="12"/>
      <c r="AB22" s="12"/>
      <c r="AC22" s="12"/>
    </row>
    <row r="23" spans="1:29" ht="24.95" customHeight="1">
      <c r="A23" s="32"/>
      <c r="B23" s="6">
        <v>19</v>
      </c>
      <c r="C23" s="7" t="s">
        <v>67</v>
      </c>
      <c r="D23" s="8" t="s">
        <v>23</v>
      </c>
      <c r="E23" s="9">
        <v>197</v>
      </c>
      <c r="F23" s="9">
        <v>1772</v>
      </c>
      <c r="G23" s="9">
        <v>190</v>
      </c>
      <c r="H23" s="9">
        <v>114</v>
      </c>
      <c r="I23" s="10">
        <f t="shared" si="0"/>
        <v>60</v>
      </c>
      <c r="J23" s="9">
        <v>76</v>
      </c>
      <c r="K23" s="10">
        <f t="shared" si="1"/>
        <v>40</v>
      </c>
      <c r="L23" s="9">
        <v>3758</v>
      </c>
      <c r="M23" s="9">
        <v>3.225806452</v>
      </c>
      <c r="N23" s="10">
        <f t="shared" si="2"/>
        <v>8.5838383501862695E-2</v>
      </c>
      <c r="O23" s="9">
        <v>1.7367E-2</v>
      </c>
      <c r="P23" s="11"/>
      <c r="Q23" s="29"/>
      <c r="R23" s="9" t="s">
        <v>68</v>
      </c>
      <c r="S23" s="29"/>
      <c r="T23" s="11"/>
      <c r="U23" s="11"/>
      <c r="V23" s="11"/>
      <c r="W23" s="12"/>
      <c r="X23" s="12"/>
      <c r="Y23" s="12"/>
      <c r="Z23" s="12"/>
      <c r="AA23" s="12"/>
      <c r="AB23" s="12"/>
      <c r="AC23" s="12"/>
    </row>
    <row r="24" spans="1:29" ht="24.95" customHeight="1">
      <c r="A24" s="29"/>
      <c r="B24" s="6">
        <v>20</v>
      </c>
      <c r="C24" s="7" t="s">
        <v>69</v>
      </c>
      <c r="D24" s="8" t="s">
        <v>23</v>
      </c>
      <c r="E24" s="9">
        <v>105</v>
      </c>
      <c r="F24" s="9">
        <v>1830</v>
      </c>
      <c r="G24" s="9">
        <v>7344</v>
      </c>
      <c r="H24" s="9">
        <v>4177</v>
      </c>
      <c r="I24" s="10">
        <f t="shared" si="0"/>
        <v>56.876361655773422</v>
      </c>
      <c r="J24" s="9">
        <v>3167</v>
      </c>
      <c r="K24" s="10">
        <f t="shared" si="1"/>
        <v>43.123638344226578</v>
      </c>
      <c r="L24" s="9">
        <v>21961</v>
      </c>
      <c r="M24" s="9">
        <v>1.6984654610000001</v>
      </c>
      <c r="N24" s="10">
        <f t="shared" si="2"/>
        <v>7.7340078366194623E-3</v>
      </c>
      <c r="O24" s="9">
        <v>9.1564270000000008</v>
      </c>
      <c r="P24" s="11"/>
      <c r="Q24" s="11"/>
      <c r="R24" s="11"/>
      <c r="S24" s="11"/>
      <c r="T24" s="11"/>
      <c r="U24" s="11"/>
      <c r="V24" s="11"/>
      <c r="W24" s="12"/>
      <c r="X24" s="12"/>
      <c r="Y24" s="12"/>
      <c r="Z24" s="12"/>
      <c r="AA24" s="12"/>
      <c r="AB24" s="12"/>
      <c r="AC24" s="12"/>
    </row>
    <row r="25" spans="1:29" ht="24.95" customHeight="1">
      <c r="A25" s="28" t="s">
        <v>70</v>
      </c>
      <c r="B25" s="6">
        <v>21</v>
      </c>
      <c r="C25" s="7" t="s">
        <v>71</v>
      </c>
      <c r="D25" s="8" t="s">
        <v>23</v>
      </c>
      <c r="E25" s="9">
        <v>215</v>
      </c>
      <c r="F25" s="9">
        <v>2385</v>
      </c>
      <c r="G25" s="9">
        <v>100</v>
      </c>
      <c r="H25" s="9">
        <v>54</v>
      </c>
      <c r="I25" s="10">
        <f t="shared" si="0"/>
        <v>54</v>
      </c>
      <c r="J25" s="9">
        <v>46</v>
      </c>
      <c r="K25" s="10">
        <f t="shared" si="1"/>
        <v>46</v>
      </c>
      <c r="L25" s="9">
        <v>1739</v>
      </c>
      <c r="M25" s="9">
        <v>0.57504312800000001</v>
      </c>
      <c r="N25" s="10">
        <f t="shared" si="2"/>
        <v>3.3067459919493961E-2</v>
      </c>
      <c r="O25" s="9">
        <v>9.2270000000000005E-2</v>
      </c>
      <c r="P25" s="11"/>
      <c r="Q25" s="46" t="s">
        <v>72</v>
      </c>
      <c r="R25" s="47"/>
      <c r="S25" s="47"/>
      <c r="T25" s="11"/>
      <c r="U25" s="11"/>
      <c r="V25" s="11"/>
      <c r="W25" s="12"/>
      <c r="X25" s="12"/>
      <c r="Y25" s="12"/>
      <c r="Z25" s="12"/>
      <c r="AA25" s="12"/>
      <c r="AB25" s="12"/>
      <c r="AC25" s="12"/>
    </row>
    <row r="26" spans="1:29" ht="24.95" customHeight="1">
      <c r="A26" s="32"/>
      <c r="B26" s="6">
        <v>22</v>
      </c>
      <c r="C26" s="7" t="s">
        <v>73</v>
      </c>
      <c r="D26" s="8" t="s">
        <v>23</v>
      </c>
      <c r="E26" s="9">
        <v>208</v>
      </c>
      <c r="F26" s="9">
        <v>2365</v>
      </c>
      <c r="G26" s="9">
        <v>56</v>
      </c>
      <c r="H26" s="9">
        <v>30</v>
      </c>
      <c r="I26" s="10">
        <f t="shared" si="0"/>
        <v>53.571428571428569</v>
      </c>
      <c r="J26" s="9">
        <v>26</v>
      </c>
      <c r="K26" s="10">
        <f t="shared" si="1"/>
        <v>46.428571428571431</v>
      </c>
      <c r="L26" s="9">
        <v>1438</v>
      </c>
      <c r="M26" s="9">
        <v>0.48678720399999997</v>
      </c>
      <c r="N26" s="10">
        <f t="shared" si="2"/>
        <v>3.3851683171070929E-2</v>
      </c>
      <c r="O26" s="9">
        <v>0</v>
      </c>
      <c r="P26" s="11"/>
      <c r="Q26" s="47"/>
      <c r="R26" s="47"/>
      <c r="S26" s="47"/>
      <c r="T26" s="11"/>
      <c r="U26" s="11"/>
      <c r="V26" s="11"/>
      <c r="W26" s="12"/>
      <c r="X26" s="12"/>
      <c r="Y26" s="12"/>
      <c r="Z26" s="12"/>
      <c r="AA26" s="12"/>
      <c r="AB26" s="12"/>
      <c r="AC26" s="12"/>
    </row>
    <row r="27" spans="1:29" ht="24.95" customHeight="1">
      <c r="A27" s="32"/>
      <c r="B27" s="6">
        <v>23</v>
      </c>
      <c r="C27" s="7" t="s">
        <v>74</v>
      </c>
      <c r="D27" s="8" t="s">
        <v>23</v>
      </c>
      <c r="E27" s="9">
        <v>212</v>
      </c>
      <c r="F27" s="9">
        <v>1947</v>
      </c>
      <c r="G27" s="9">
        <v>75</v>
      </c>
      <c r="H27" s="9">
        <v>38</v>
      </c>
      <c r="I27" s="10">
        <f t="shared" si="0"/>
        <v>50.666666666666671</v>
      </c>
      <c r="J27" s="9">
        <v>37</v>
      </c>
      <c r="K27" s="10">
        <f t="shared" si="1"/>
        <v>49.333333333333336</v>
      </c>
      <c r="L27" s="9">
        <v>680</v>
      </c>
      <c r="M27" s="9">
        <v>4.5588235289999997</v>
      </c>
      <c r="N27" s="10">
        <f t="shared" si="2"/>
        <v>0.67041522485294114</v>
      </c>
      <c r="O27" s="9">
        <v>0</v>
      </c>
      <c r="P27" s="11"/>
      <c r="Q27" s="47"/>
      <c r="R27" s="47"/>
      <c r="S27" s="47"/>
      <c r="T27" s="11"/>
      <c r="U27" s="11"/>
      <c r="V27" s="11"/>
      <c r="W27" s="12"/>
      <c r="X27" s="12"/>
      <c r="Y27" s="12"/>
      <c r="Z27" s="12"/>
      <c r="AA27" s="12"/>
      <c r="AB27" s="12"/>
      <c r="AC27" s="12"/>
    </row>
    <row r="28" spans="1:29" ht="24.95" customHeight="1">
      <c r="A28" s="32"/>
      <c r="B28" s="6">
        <v>24</v>
      </c>
      <c r="C28" s="7" t="s">
        <v>75</v>
      </c>
      <c r="D28" s="8" t="s">
        <v>23</v>
      </c>
      <c r="E28" s="9">
        <v>216</v>
      </c>
      <c r="F28" s="9">
        <v>2285</v>
      </c>
      <c r="G28" s="9">
        <v>439</v>
      </c>
      <c r="H28" s="9">
        <v>284</v>
      </c>
      <c r="I28" s="10">
        <f t="shared" si="0"/>
        <v>64.692482915717548</v>
      </c>
      <c r="J28" s="9">
        <v>155</v>
      </c>
      <c r="K28" s="10">
        <f t="shared" si="1"/>
        <v>35.307517084282459</v>
      </c>
      <c r="L28" s="9">
        <v>3932</v>
      </c>
      <c r="M28" s="9">
        <v>2.0117137760000001</v>
      </c>
      <c r="N28" s="10">
        <f t="shared" si="2"/>
        <v>5.1162608748728383E-2</v>
      </c>
      <c r="O28" s="9">
        <v>0.136821</v>
      </c>
      <c r="P28" s="11"/>
      <c r="Q28" s="11"/>
      <c r="R28" s="11"/>
      <c r="S28" s="11"/>
      <c r="T28" s="11"/>
      <c r="U28" s="11"/>
      <c r="V28" s="11"/>
      <c r="W28" s="12"/>
      <c r="X28" s="12"/>
      <c r="Y28" s="12"/>
      <c r="Z28" s="12"/>
      <c r="AA28" s="12"/>
      <c r="AB28" s="12"/>
      <c r="AC28" s="12"/>
    </row>
    <row r="29" spans="1:29" ht="24.95" customHeight="1">
      <c r="A29" s="32"/>
      <c r="B29" s="6">
        <v>25</v>
      </c>
      <c r="C29" s="7" t="s">
        <v>76</v>
      </c>
      <c r="D29" s="8" t="s">
        <v>23</v>
      </c>
      <c r="E29" s="9">
        <v>217</v>
      </c>
      <c r="F29" s="9">
        <v>2359</v>
      </c>
      <c r="G29" s="8">
        <v>231</v>
      </c>
      <c r="H29" s="8">
        <v>133</v>
      </c>
      <c r="I29" s="10">
        <f t="shared" si="0"/>
        <v>57.575757575757578</v>
      </c>
      <c r="J29" s="8">
        <v>98</v>
      </c>
      <c r="K29" s="10">
        <f t="shared" si="1"/>
        <v>42.424242424242422</v>
      </c>
      <c r="L29" s="9">
        <v>2781</v>
      </c>
      <c r="M29" s="9">
        <v>1.11470694</v>
      </c>
      <c r="N29" s="10">
        <f t="shared" si="2"/>
        <v>4.0082953613807988E-2</v>
      </c>
      <c r="O29" s="9">
        <v>0</v>
      </c>
      <c r="P29" s="11"/>
      <c r="Q29" s="11"/>
      <c r="R29" s="11"/>
      <c r="S29" s="11"/>
      <c r="T29" s="11"/>
      <c r="U29" s="11"/>
      <c r="V29" s="11"/>
      <c r="W29" s="12"/>
      <c r="X29" s="12"/>
      <c r="Y29" s="12"/>
      <c r="Z29" s="12"/>
      <c r="AA29" s="12"/>
      <c r="AB29" s="12"/>
      <c r="AC29" s="12"/>
    </row>
    <row r="30" spans="1:29" ht="24.95" customHeight="1">
      <c r="A30" s="32"/>
      <c r="B30" s="6">
        <v>26</v>
      </c>
      <c r="C30" s="7" t="s">
        <v>77</v>
      </c>
      <c r="D30" s="8" t="s">
        <v>23</v>
      </c>
      <c r="E30" s="9">
        <v>206</v>
      </c>
      <c r="F30" s="9">
        <v>2358</v>
      </c>
      <c r="G30" s="16">
        <v>152</v>
      </c>
      <c r="H30" s="16">
        <v>94</v>
      </c>
      <c r="I30" s="10">
        <f t="shared" si="0"/>
        <v>61.842105263157897</v>
      </c>
      <c r="J30" s="16">
        <v>58</v>
      </c>
      <c r="K30" s="10">
        <f t="shared" si="1"/>
        <v>38.15789473684211</v>
      </c>
      <c r="L30" s="9">
        <v>959</v>
      </c>
      <c r="M30" s="9">
        <v>1.147028154</v>
      </c>
      <c r="N30" s="10">
        <f t="shared" si="2"/>
        <v>0.11960668967674661</v>
      </c>
      <c r="O30" s="9">
        <v>0</v>
      </c>
      <c r="P30" s="11"/>
      <c r="Q30" s="11"/>
      <c r="R30" s="11"/>
      <c r="S30" s="11"/>
      <c r="T30" s="11"/>
      <c r="U30" s="11"/>
      <c r="V30" s="11"/>
      <c r="W30" s="12"/>
      <c r="X30" s="12"/>
      <c r="Y30" s="12"/>
      <c r="Z30" s="12"/>
      <c r="AA30" s="12"/>
      <c r="AB30" s="12"/>
      <c r="AC30" s="12"/>
    </row>
    <row r="31" spans="1:29" ht="24.95" customHeight="1">
      <c r="A31" s="32"/>
      <c r="B31" s="6">
        <v>27</v>
      </c>
      <c r="C31" s="7" t="s">
        <v>78</v>
      </c>
      <c r="D31" s="8" t="s">
        <v>23</v>
      </c>
      <c r="E31" s="9">
        <v>163</v>
      </c>
      <c r="F31" s="9">
        <v>2290</v>
      </c>
      <c r="G31" s="9">
        <v>30</v>
      </c>
      <c r="H31" s="9">
        <v>15</v>
      </c>
      <c r="I31" s="10">
        <f t="shared" si="0"/>
        <v>50</v>
      </c>
      <c r="J31" s="9">
        <v>15</v>
      </c>
      <c r="K31" s="10">
        <f t="shared" si="1"/>
        <v>50</v>
      </c>
      <c r="L31" s="9">
        <v>1160</v>
      </c>
      <c r="M31" s="9">
        <v>0.77586206899999999</v>
      </c>
      <c r="N31" s="10">
        <f t="shared" si="2"/>
        <v>6.6884661120689665E-2</v>
      </c>
      <c r="O31" s="9">
        <v>1.4348E-2</v>
      </c>
      <c r="P31" s="11"/>
      <c r="Q31" s="11"/>
      <c r="R31" s="11"/>
      <c r="S31" s="11"/>
      <c r="T31" s="11"/>
      <c r="U31" s="11"/>
      <c r="V31" s="11"/>
      <c r="W31" s="12"/>
      <c r="X31" s="12"/>
      <c r="Y31" s="12"/>
      <c r="Z31" s="12"/>
      <c r="AA31" s="12"/>
      <c r="AB31" s="12"/>
      <c r="AC31" s="12"/>
    </row>
    <row r="32" spans="1:29" ht="24.95" customHeight="1">
      <c r="A32" s="32"/>
      <c r="B32" s="6">
        <v>28</v>
      </c>
      <c r="C32" s="7" t="s">
        <v>79</v>
      </c>
      <c r="D32" s="8" t="s">
        <v>23</v>
      </c>
      <c r="E32" s="9">
        <v>210</v>
      </c>
      <c r="F32" s="9">
        <v>2391</v>
      </c>
      <c r="G32" s="9">
        <v>266</v>
      </c>
      <c r="H32" s="9">
        <v>153</v>
      </c>
      <c r="I32" s="10">
        <f t="shared" si="0"/>
        <v>57.518796992481199</v>
      </c>
      <c r="J32" s="9">
        <v>113</v>
      </c>
      <c r="K32" s="10">
        <f t="shared" si="1"/>
        <v>42.481203007518801</v>
      </c>
      <c r="L32" s="9">
        <v>1437</v>
      </c>
      <c r="M32" s="9">
        <v>0.41753653400000001</v>
      </c>
      <c r="N32" s="10">
        <f t="shared" si="2"/>
        <v>2.9056126235212251E-2</v>
      </c>
      <c r="O32" s="9">
        <v>2.3370999999999999E-2</v>
      </c>
      <c r="P32" s="11"/>
      <c r="Q32" s="11"/>
      <c r="R32" s="11"/>
      <c r="S32" s="11"/>
      <c r="T32" s="11"/>
      <c r="U32" s="11"/>
      <c r="V32" s="11"/>
      <c r="W32" s="12"/>
      <c r="X32" s="12"/>
      <c r="Y32" s="12"/>
      <c r="Z32" s="12"/>
      <c r="AA32" s="12"/>
      <c r="AB32" s="12"/>
      <c r="AC32" s="12"/>
    </row>
    <row r="33" spans="1:29" ht="24.95" customHeight="1">
      <c r="A33" s="32"/>
      <c r="B33" s="6">
        <v>29</v>
      </c>
      <c r="C33" s="7" t="s">
        <v>80</v>
      </c>
      <c r="D33" s="8" t="s">
        <v>23</v>
      </c>
      <c r="E33" s="9">
        <v>178</v>
      </c>
      <c r="F33" s="9">
        <v>1908</v>
      </c>
      <c r="G33" s="9">
        <v>258</v>
      </c>
      <c r="H33" s="9">
        <v>144</v>
      </c>
      <c r="I33" s="10">
        <f t="shared" si="0"/>
        <v>55.813953488372093</v>
      </c>
      <c r="J33" s="9">
        <v>114</v>
      </c>
      <c r="K33" s="10">
        <f t="shared" si="1"/>
        <v>44.186046511627907</v>
      </c>
      <c r="L33" s="9">
        <v>3414</v>
      </c>
      <c r="M33" s="9">
        <v>1.494724502</v>
      </c>
      <c r="N33" s="10">
        <f t="shared" si="2"/>
        <v>4.3782205682483886E-2</v>
      </c>
      <c r="O33" s="9">
        <v>0</v>
      </c>
      <c r="P33" s="11"/>
      <c r="Q33" s="11"/>
      <c r="R33" s="11"/>
      <c r="S33" s="11"/>
      <c r="T33" s="11"/>
      <c r="U33" s="11"/>
      <c r="V33" s="11"/>
      <c r="W33" s="12"/>
      <c r="X33" s="12"/>
      <c r="Y33" s="12"/>
      <c r="Z33" s="12"/>
      <c r="AA33" s="12"/>
      <c r="AB33" s="12"/>
      <c r="AC33" s="12"/>
    </row>
    <row r="34" spans="1:29" ht="24.95" customHeight="1">
      <c r="A34" s="29"/>
      <c r="B34" s="6">
        <v>30</v>
      </c>
      <c r="C34" s="7" t="s">
        <v>81</v>
      </c>
      <c r="D34" s="8" t="s">
        <v>23</v>
      </c>
      <c r="E34" s="9">
        <v>211</v>
      </c>
      <c r="F34" s="9">
        <v>2319</v>
      </c>
      <c r="G34" s="9">
        <v>97</v>
      </c>
      <c r="H34" s="9">
        <v>61</v>
      </c>
      <c r="I34" s="10">
        <f t="shared" si="0"/>
        <v>62.886597938144327</v>
      </c>
      <c r="J34" s="9">
        <v>36</v>
      </c>
      <c r="K34" s="10">
        <f t="shared" si="1"/>
        <v>37.113402061855673</v>
      </c>
      <c r="L34" s="9">
        <v>3811</v>
      </c>
      <c r="M34" s="9">
        <v>1.0872447629999999</v>
      </c>
      <c r="N34" s="10">
        <f t="shared" si="2"/>
        <v>2.8529119994752029E-2</v>
      </c>
      <c r="O34" s="9">
        <v>0</v>
      </c>
      <c r="P34" s="11"/>
      <c r="Q34" s="11"/>
      <c r="R34" s="11"/>
      <c r="S34" s="11"/>
      <c r="T34" s="11"/>
      <c r="U34" s="11"/>
      <c r="V34" s="11"/>
      <c r="W34" s="12"/>
      <c r="X34" s="12"/>
      <c r="Y34" s="12"/>
      <c r="Z34" s="12"/>
      <c r="AA34" s="12"/>
      <c r="AB34" s="12"/>
      <c r="AC34" s="12"/>
    </row>
    <row r="35" spans="1:29" ht="24.95" customHeight="1">
      <c r="A35" s="28" t="s">
        <v>82</v>
      </c>
      <c r="B35" s="6">
        <v>31</v>
      </c>
      <c r="C35" s="7" t="s">
        <v>83</v>
      </c>
      <c r="D35" s="8" t="s">
        <v>23</v>
      </c>
      <c r="E35" s="9">
        <v>209</v>
      </c>
      <c r="F35" s="9">
        <v>2082</v>
      </c>
      <c r="G35" s="9">
        <v>164</v>
      </c>
      <c r="H35" s="9">
        <v>103</v>
      </c>
      <c r="I35" s="10">
        <f t="shared" si="0"/>
        <v>62.804878048780488</v>
      </c>
      <c r="J35" s="9">
        <v>61</v>
      </c>
      <c r="K35" s="10">
        <f t="shared" si="1"/>
        <v>37.195121951219512</v>
      </c>
      <c r="L35" s="9">
        <v>743</v>
      </c>
      <c r="M35" s="9">
        <v>1.749663526</v>
      </c>
      <c r="N35" s="10">
        <f t="shared" si="2"/>
        <v>0.23548634266487214</v>
      </c>
      <c r="O35" s="9">
        <v>0</v>
      </c>
      <c r="P35" s="11"/>
      <c r="Q35" s="11"/>
      <c r="R35" s="11"/>
      <c r="S35" s="11"/>
      <c r="T35" s="11"/>
      <c r="U35" s="11"/>
      <c r="V35" s="11"/>
      <c r="W35" s="12"/>
      <c r="X35" s="12"/>
      <c r="Y35" s="12"/>
      <c r="Z35" s="12"/>
      <c r="AA35" s="12"/>
      <c r="AB35" s="12"/>
      <c r="AC35" s="12"/>
    </row>
    <row r="36" spans="1:29" ht="24.95" customHeight="1">
      <c r="A36" s="32"/>
      <c r="B36" s="6">
        <v>32</v>
      </c>
      <c r="C36" s="7" t="s">
        <v>84</v>
      </c>
      <c r="D36" s="8" t="s">
        <v>23</v>
      </c>
      <c r="E36" s="9">
        <v>180</v>
      </c>
      <c r="F36" s="9">
        <v>1873</v>
      </c>
      <c r="G36" s="9">
        <v>184</v>
      </c>
      <c r="H36" s="9">
        <v>122</v>
      </c>
      <c r="I36" s="10">
        <f t="shared" si="0"/>
        <v>66.304347826086953</v>
      </c>
      <c r="J36" s="9">
        <v>62</v>
      </c>
      <c r="K36" s="10">
        <f t="shared" si="1"/>
        <v>33.695652173913047</v>
      </c>
      <c r="L36" s="9">
        <v>1294</v>
      </c>
      <c r="M36" s="9">
        <v>2.086553323</v>
      </c>
      <c r="N36" s="10">
        <f t="shared" si="2"/>
        <v>0.1612483248068006</v>
      </c>
      <c r="O36" s="9">
        <v>0</v>
      </c>
      <c r="P36" s="11"/>
      <c r="Q36" s="11"/>
      <c r="R36" s="11"/>
      <c r="S36" s="11"/>
      <c r="T36" s="11"/>
      <c r="U36" s="11"/>
      <c r="V36" s="11"/>
      <c r="W36" s="12"/>
      <c r="X36" s="12"/>
      <c r="Y36" s="12"/>
      <c r="Z36" s="12"/>
      <c r="AA36" s="12"/>
      <c r="AB36" s="12"/>
      <c r="AC36" s="12"/>
    </row>
    <row r="37" spans="1:29" ht="24.95" customHeight="1">
      <c r="A37" s="32"/>
      <c r="B37" s="6">
        <v>33</v>
      </c>
      <c r="C37" s="7" t="s">
        <v>85</v>
      </c>
      <c r="D37" s="8" t="s">
        <v>23</v>
      </c>
      <c r="E37" s="9">
        <v>192</v>
      </c>
      <c r="F37" s="9">
        <v>1709</v>
      </c>
      <c r="G37" s="9">
        <v>178</v>
      </c>
      <c r="H37" s="9">
        <v>97</v>
      </c>
      <c r="I37" s="10">
        <f t="shared" si="0"/>
        <v>54.49438202247191</v>
      </c>
      <c r="J37" s="9">
        <v>81</v>
      </c>
      <c r="K37" s="10">
        <f t="shared" si="1"/>
        <v>45.50561797752809</v>
      </c>
      <c r="L37" s="9">
        <v>1021</v>
      </c>
      <c r="M37" s="9">
        <v>4.2115572969999997</v>
      </c>
      <c r="N37" s="10">
        <f t="shared" si="2"/>
        <v>0.41249336895200783</v>
      </c>
      <c r="O37" s="9">
        <v>0</v>
      </c>
      <c r="P37" s="11"/>
      <c r="Q37" s="11"/>
      <c r="R37" s="11"/>
      <c r="S37" s="11"/>
      <c r="T37" s="11"/>
      <c r="U37" s="11"/>
      <c r="V37" s="11"/>
      <c r="W37" s="12"/>
      <c r="X37" s="12"/>
      <c r="Y37" s="12"/>
      <c r="Z37" s="12"/>
      <c r="AA37" s="12"/>
      <c r="AB37" s="12"/>
      <c r="AC37" s="12"/>
    </row>
    <row r="38" spans="1:29" ht="24.95" customHeight="1">
      <c r="A38" s="32"/>
      <c r="B38" s="6">
        <v>34</v>
      </c>
      <c r="C38" s="7" t="s">
        <v>86</v>
      </c>
      <c r="D38" s="8" t="s">
        <v>23</v>
      </c>
      <c r="E38" s="9">
        <v>190</v>
      </c>
      <c r="F38" s="9">
        <v>2093</v>
      </c>
      <c r="G38" s="9">
        <v>344</v>
      </c>
      <c r="H38" s="9">
        <v>197</v>
      </c>
      <c r="I38" s="10">
        <f t="shared" si="0"/>
        <v>57.267441860465119</v>
      </c>
      <c r="J38" s="9">
        <v>147</v>
      </c>
      <c r="K38" s="10">
        <f t="shared" si="1"/>
        <v>42.732558139534881</v>
      </c>
      <c r="L38" s="9">
        <v>1627</v>
      </c>
      <c r="M38" s="9">
        <v>1.4145141450000001</v>
      </c>
      <c r="N38" s="10">
        <f t="shared" si="2"/>
        <v>8.6940021204671175E-2</v>
      </c>
      <c r="O38" s="9">
        <v>4.0473000000000002E-2</v>
      </c>
      <c r="P38" s="11"/>
      <c r="Q38" s="11"/>
      <c r="R38" s="11"/>
      <c r="S38" s="11"/>
      <c r="T38" s="11"/>
      <c r="U38" s="11"/>
      <c r="V38" s="11"/>
      <c r="W38" s="12"/>
      <c r="X38" s="12"/>
      <c r="Y38" s="12"/>
      <c r="Z38" s="12"/>
      <c r="AA38" s="12"/>
      <c r="AB38" s="12"/>
      <c r="AC38" s="12"/>
    </row>
    <row r="39" spans="1:29" ht="24.95" customHeight="1">
      <c r="A39" s="32"/>
      <c r="B39" s="6">
        <v>35</v>
      </c>
      <c r="C39" s="7" t="s">
        <v>87</v>
      </c>
      <c r="D39" s="8" t="s">
        <v>23</v>
      </c>
      <c r="E39" s="9">
        <v>137</v>
      </c>
      <c r="F39" s="9">
        <v>1737</v>
      </c>
      <c r="G39" s="9">
        <v>1022</v>
      </c>
      <c r="H39" s="9">
        <v>609</v>
      </c>
      <c r="I39" s="10">
        <f t="shared" si="0"/>
        <v>59.589041095890416</v>
      </c>
      <c r="J39" s="9">
        <v>413</v>
      </c>
      <c r="K39" s="10">
        <f t="shared" si="1"/>
        <v>40.410958904109592</v>
      </c>
      <c r="L39" s="9">
        <v>5156</v>
      </c>
      <c r="M39" s="9">
        <v>3.4328937160000002</v>
      </c>
      <c r="N39" s="10">
        <f t="shared" si="2"/>
        <v>6.6580560822342913E-2</v>
      </c>
      <c r="O39" s="9">
        <v>0.70239600000000002</v>
      </c>
      <c r="P39" s="11"/>
      <c r="Q39" s="11"/>
      <c r="R39" s="11"/>
      <c r="S39" s="11"/>
      <c r="T39" s="11"/>
      <c r="U39" s="11"/>
      <c r="V39" s="11"/>
      <c r="W39" s="12"/>
      <c r="X39" s="12"/>
      <c r="Y39" s="12"/>
      <c r="Z39" s="12"/>
      <c r="AA39" s="12"/>
      <c r="AB39" s="12"/>
      <c r="AC39" s="12"/>
    </row>
    <row r="40" spans="1:29" ht="24.95" customHeight="1">
      <c r="A40" s="32"/>
      <c r="B40" s="6">
        <v>36</v>
      </c>
      <c r="C40" s="7" t="s">
        <v>88</v>
      </c>
      <c r="D40" s="8" t="s">
        <v>23</v>
      </c>
      <c r="E40" s="9">
        <v>200</v>
      </c>
      <c r="F40" s="9">
        <v>2286</v>
      </c>
      <c r="G40" s="9">
        <v>1173</v>
      </c>
      <c r="H40" s="9">
        <v>653</v>
      </c>
      <c r="I40" s="10">
        <f t="shared" si="0"/>
        <v>55.669224211423696</v>
      </c>
      <c r="J40" s="9">
        <v>520</v>
      </c>
      <c r="K40" s="10">
        <f t="shared" si="1"/>
        <v>44.330775788576297</v>
      </c>
      <c r="L40" s="9">
        <v>12621</v>
      </c>
      <c r="M40" s="9">
        <v>1.1647254579999999</v>
      </c>
      <c r="N40" s="10">
        <f t="shared" si="2"/>
        <v>9.2284720545123197E-3</v>
      </c>
      <c r="O40" s="9">
        <v>2.669994</v>
      </c>
      <c r="P40" s="11"/>
      <c r="Q40" s="11"/>
      <c r="R40" s="11"/>
      <c r="S40" s="11"/>
      <c r="T40" s="11"/>
      <c r="U40" s="11"/>
      <c r="V40" s="11"/>
      <c r="W40" s="12"/>
      <c r="X40" s="12"/>
      <c r="Y40" s="12"/>
      <c r="Z40" s="12"/>
      <c r="AA40" s="12"/>
      <c r="AB40" s="12"/>
      <c r="AC40" s="12"/>
    </row>
    <row r="41" spans="1:29" ht="24.95" customHeight="1">
      <c r="A41" s="29"/>
      <c r="B41" s="6">
        <v>37</v>
      </c>
      <c r="C41" s="7" t="s">
        <v>89</v>
      </c>
      <c r="D41" s="8" t="s">
        <v>30</v>
      </c>
      <c r="E41" s="9">
        <v>148</v>
      </c>
      <c r="F41" s="9">
        <v>1376</v>
      </c>
      <c r="G41" s="9">
        <v>2635</v>
      </c>
      <c r="H41" s="9">
        <v>1508</v>
      </c>
      <c r="I41" s="10">
        <f t="shared" si="0"/>
        <v>57.229601518026563</v>
      </c>
      <c r="J41" s="9">
        <v>1127</v>
      </c>
      <c r="K41" s="10">
        <f t="shared" si="1"/>
        <v>42.770398481973437</v>
      </c>
      <c r="L41" s="9">
        <v>14879</v>
      </c>
      <c r="M41" s="9">
        <v>4.0392499500000003</v>
      </c>
      <c r="N41" s="10">
        <f t="shared" si="2"/>
        <v>2.7147321392566703E-2</v>
      </c>
      <c r="O41" s="9">
        <v>11.410515999999999</v>
      </c>
      <c r="P41" s="11"/>
      <c r="Q41" s="11"/>
      <c r="R41" s="11"/>
      <c r="S41" s="11"/>
      <c r="T41" s="11"/>
      <c r="U41" s="11"/>
      <c r="V41" s="11"/>
      <c r="W41" s="12"/>
      <c r="X41" s="12"/>
      <c r="Y41" s="12"/>
      <c r="Z41" s="12"/>
      <c r="AA41" s="12"/>
      <c r="AB41" s="12"/>
      <c r="AC41" s="12"/>
    </row>
    <row r="42" spans="1:29" ht="24.95" customHeight="1">
      <c r="A42" s="28" t="s">
        <v>90</v>
      </c>
      <c r="B42" s="6">
        <v>38</v>
      </c>
      <c r="C42" s="7" t="s">
        <v>91</v>
      </c>
      <c r="D42" s="8" t="s">
        <v>23</v>
      </c>
      <c r="E42" s="9">
        <v>196</v>
      </c>
      <c r="F42" s="9">
        <v>2160</v>
      </c>
      <c r="G42" s="9">
        <v>433</v>
      </c>
      <c r="H42" s="9">
        <v>248</v>
      </c>
      <c r="I42" s="10">
        <f t="shared" si="0"/>
        <v>57.274826789838343</v>
      </c>
      <c r="J42" s="9">
        <v>185</v>
      </c>
      <c r="K42" s="10">
        <f t="shared" si="1"/>
        <v>42.725173210161664</v>
      </c>
      <c r="L42" s="9">
        <v>3347</v>
      </c>
      <c r="M42" s="9">
        <v>1.135345085</v>
      </c>
      <c r="N42" s="10">
        <f t="shared" si="2"/>
        <v>3.392127532118315E-2</v>
      </c>
      <c r="O42" s="9">
        <v>0</v>
      </c>
      <c r="P42" s="11"/>
      <c r="Q42" s="11"/>
      <c r="R42" s="11"/>
      <c r="S42" s="11"/>
      <c r="T42" s="11"/>
      <c r="U42" s="11"/>
      <c r="V42" s="11"/>
      <c r="W42" s="12"/>
      <c r="X42" s="12"/>
      <c r="Y42" s="12"/>
      <c r="Z42" s="12"/>
      <c r="AA42" s="12"/>
      <c r="AB42" s="12"/>
      <c r="AC42" s="12"/>
    </row>
    <row r="43" spans="1:29" ht="24.95" customHeight="1">
      <c r="A43" s="32"/>
      <c r="B43" s="6">
        <v>39</v>
      </c>
      <c r="C43" s="7" t="s">
        <v>92</v>
      </c>
      <c r="D43" s="8" t="s">
        <v>40</v>
      </c>
      <c r="E43" s="9">
        <v>111</v>
      </c>
      <c r="F43" s="9">
        <v>865</v>
      </c>
      <c r="G43" s="9">
        <v>460</v>
      </c>
      <c r="H43" s="9">
        <v>249</v>
      </c>
      <c r="I43" s="10">
        <f t="shared" si="0"/>
        <v>54.130434782608695</v>
      </c>
      <c r="J43" s="9">
        <v>211</v>
      </c>
      <c r="K43" s="10">
        <f t="shared" si="1"/>
        <v>45.869565217391305</v>
      </c>
      <c r="L43" s="9">
        <v>2276</v>
      </c>
      <c r="M43" s="9">
        <v>6.1511423550000002</v>
      </c>
      <c r="N43" s="10">
        <f t="shared" si="2"/>
        <v>0.2702610876537786</v>
      </c>
      <c r="O43" s="9">
        <v>0.48703200000000002</v>
      </c>
      <c r="P43" s="11"/>
      <c r="Q43" s="11"/>
      <c r="R43" s="11"/>
      <c r="S43" s="11"/>
      <c r="T43" s="11"/>
      <c r="U43" s="11"/>
      <c r="V43" s="11"/>
      <c r="W43" s="12"/>
      <c r="X43" s="12"/>
      <c r="Y43" s="12"/>
      <c r="Z43" s="12"/>
      <c r="AA43" s="12"/>
      <c r="AB43" s="12"/>
      <c r="AC43" s="12"/>
    </row>
    <row r="44" spans="1:29" ht="24.95" customHeight="1">
      <c r="A44" s="32"/>
      <c r="B44" s="6">
        <v>40</v>
      </c>
      <c r="C44" s="7" t="s">
        <v>93</v>
      </c>
      <c r="D44" s="8" t="s">
        <v>23</v>
      </c>
      <c r="E44" s="9">
        <v>198</v>
      </c>
      <c r="F44" s="9">
        <v>1649</v>
      </c>
      <c r="G44" s="9">
        <v>1124</v>
      </c>
      <c r="H44" s="9">
        <v>698</v>
      </c>
      <c r="I44" s="10">
        <f t="shared" si="0"/>
        <v>62.099644128113887</v>
      </c>
      <c r="J44" s="9">
        <v>426</v>
      </c>
      <c r="K44" s="10">
        <f t="shared" si="1"/>
        <v>37.90035587188612</v>
      </c>
      <c r="L44" s="9">
        <v>6702</v>
      </c>
      <c r="M44" s="9">
        <v>2.4768725749999998</v>
      </c>
      <c r="N44" s="10">
        <f t="shared" si="2"/>
        <v>3.695721538346762E-2</v>
      </c>
      <c r="O44" s="9">
        <v>2.764589</v>
      </c>
      <c r="P44" s="11"/>
      <c r="Q44" s="11"/>
      <c r="R44" s="11"/>
      <c r="S44" s="11"/>
      <c r="T44" s="11"/>
      <c r="U44" s="11"/>
      <c r="V44" s="11"/>
      <c r="W44" s="12"/>
      <c r="X44" s="12"/>
      <c r="Y44" s="12"/>
      <c r="Z44" s="12"/>
      <c r="AA44" s="12"/>
      <c r="AB44" s="12"/>
      <c r="AC44" s="12"/>
    </row>
    <row r="45" spans="1:29" ht="24.95" customHeight="1">
      <c r="A45" s="32"/>
      <c r="B45" s="6">
        <v>41</v>
      </c>
      <c r="C45" s="7" t="s">
        <v>94</v>
      </c>
      <c r="D45" s="8" t="s">
        <v>23</v>
      </c>
      <c r="E45" s="9">
        <v>175</v>
      </c>
      <c r="F45" s="9">
        <v>2101</v>
      </c>
      <c r="G45" s="9">
        <v>1761</v>
      </c>
      <c r="H45" s="9">
        <v>1057</v>
      </c>
      <c r="I45" s="10">
        <f t="shared" si="0"/>
        <v>60.022714366837029</v>
      </c>
      <c r="J45" s="9">
        <v>704</v>
      </c>
      <c r="K45" s="10">
        <f t="shared" si="1"/>
        <v>39.977285633162971</v>
      </c>
      <c r="L45" s="9">
        <v>8126</v>
      </c>
      <c r="M45" s="9">
        <v>2.0797440319999998</v>
      </c>
      <c r="N45" s="10">
        <f t="shared" si="2"/>
        <v>2.5593699630814669E-2</v>
      </c>
      <c r="O45" s="9">
        <v>2.493E-3</v>
      </c>
      <c r="P45" s="11"/>
      <c r="Q45" s="11"/>
      <c r="R45" s="11"/>
      <c r="S45" s="11"/>
      <c r="T45" s="11"/>
      <c r="U45" s="11"/>
      <c r="V45" s="11"/>
      <c r="W45" s="12"/>
      <c r="X45" s="12"/>
      <c r="Y45" s="12"/>
      <c r="Z45" s="12"/>
      <c r="AA45" s="12"/>
      <c r="AB45" s="12"/>
      <c r="AC45" s="12"/>
    </row>
    <row r="46" spans="1:29" ht="24.95" customHeight="1">
      <c r="A46" s="32"/>
      <c r="B46" s="6">
        <v>42</v>
      </c>
      <c r="C46" s="7" t="s">
        <v>95</v>
      </c>
      <c r="D46" s="8" t="s">
        <v>30</v>
      </c>
      <c r="E46" s="9">
        <v>153</v>
      </c>
      <c r="F46" s="9">
        <v>1574</v>
      </c>
      <c r="G46" s="9">
        <v>10685</v>
      </c>
      <c r="H46" s="9">
        <v>6159</v>
      </c>
      <c r="I46" s="10">
        <f t="shared" si="0"/>
        <v>57.641553579784741</v>
      </c>
      <c r="J46" s="9">
        <v>4526</v>
      </c>
      <c r="K46" s="10">
        <f t="shared" si="1"/>
        <v>42.358446420215259</v>
      </c>
      <c r="L46" s="9">
        <v>27666</v>
      </c>
      <c r="M46" s="9">
        <v>1.8620290690000001</v>
      </c>
      <c r="N46" s="10">
        <f t="shared" si="2"/>
        <v>6.7303877286199673E-3</v>
      </c>
      <c r="O46" s="9">
        <v>18.413259</v>
      </c>
      <c r="P46" s="11"/>
      <c r="Q46" s="11"/>
      <c r="R46" s="11"/>
      <c r="S46" s="11"/>
      <c r="T46" s="11"/>
      <c r="U46" s="11"/>
      <c r="V46" s="11"/>
      <c r="W46" s="12"/>
      <c r="X46" s="12"/>
      <c r="Y46" s="12"/>
      <c r="Z46" s="12"/>
      <c r="AA46" s="12"/>
      <c r="AB46" s="12"/>
      <c r="AC46" s="12"/>
    </row>
    <row r="47" spans="1:29" ht="24.95" customHeight="1">
      <c r="A47" s="32"/>
      <c r="B47" s="6">
        <v>43</v>
      </c>
      <c r="C47" s="7" t="s">
        <v>96</v>
      </c>
      <c r="D47" s="8" t="s">
        <v>30</v>
      </c>
      <c r="E47" s="9">
        <v>65</v>
      </c>
      <c r="F47" s="9">
        <v>1297</v>
      </c>
      <c r="G47" s="9">
        <v>2972</v>
      </c>
      <c r="H47" s="9">
        <v>1725</v>
      </c>
      <c r="I47" s="10">
        <f t="shared" si="0"/>
        <v>58.041722745625847</v>
      </c>
      <c r="J47" s="9">
        <v>1247</v>
      </c>
      <c r="K47" s="10">
        <f t="shared" si="1"/>
        <v>41.95827725437416</v>
      </c>
      <c r="L47" s="9">
        <v>14692</v>
      </c>
      <c r="M47" s="9">
        <v>3.6958889190000002</v>
      </c>
      <c r="N47" s="10">
        <f t="shared" si="2"/>
        <v>2.5155791716580451E-2</v>
      </c>
      <c r="O47" s="9">
        <v>7.9197220000000002</v>
      </c>
      <c r="P47" s="11"/>
      <c r="Q47" s="11"/>
      <c r="R47" s="11"/>
      <c r="S47" s="11"/>
      <c r="T47" s="11"/>
      <c r="U47" s="11"/>
      <c r="V47" s="11"/>
      <c r="W47" s="12"/>
      <c r="X47" s="12"/>
      <c r="Y47" s="12"/>
      <c r="Z47" s="12"/>
      <c r="AA47" s="12"/>
      <c r="AB47" s="12"/>
      <c r="AC47" s="12"/>
    </row>
    <row r="48" spans="1:29" ht="24.95" customHeight="1">
      <c r="A48" s="29"/>
      <c r="B48" s="6">
        <v>44</v>
      </c>
      <c r="C48" s="7" t="s">
        <v>97</v>
      </c>
      <c r="D48" s="8" t="s">
        <v>23</v>
      </c>
      <c r="E48" s="9">
        <v>162</v>
      </c>
      <c r="F48" s="9">
        <v>1979</v>
      </c>
      <c r="G48" s="9">
        <v>257</v>
      </c>
      <c r="H48" s="9">
        <v>150</v>
      </c>
      <c r="I48" s="10">
        <f t="shared" si="0"/>
        <v>58.365758754863819</v>
      </c>
      <c r="J48" s="9">
        <v>107</v>
      </c>
      <c r="K48" s="10">
        <f t="shared" si="1"/>
        <v>41.634241245136188</v>
      </c>
      <c r="L48" s="9">
        <v>1997</v>
      </c>
      <c r="M48" s="9">
        <v>2.1532298449999998</v>
      </c>
      <c r="N48" s="10">
        <f t="shared" si="2"/>
        <v>0.10782322709063594</v>
      </c>
      <c r="O48" s="9">
        <v>8.5579999999999996E-3</v>
      </c>
      <c r="P48" s="11"/>
      <c r="Q48" s="11"/>
      <c r="R48" s="11"/>
      <c r="S48" s="11"/>
      <c r="T48" s="11"/>
      <c r="U48" s="11"/>
      <c r="V48" s="11"/>
      <c r="W48" s="12"/>
      <c r="X48" s="12"/>
      <c r="Y48" s="12"/>
      <c r="Z48" s="12"/>
      <c r="AA48" s="12"/>
      <c r="AB48" s="12"/>
      <c r="AC48" s="12"/>
    </row>
    <row r="49" spans="1:29" ht="24.95" customHeight="1">
      <c r="A49" s="28" t="s">
        <v>98</v>
      </c>
      <c r="B49" s="6">
        <v>45</v>
      </c>
      <c r="C49" s="7" t="s">
        <v>99</v>
      </c>
      <c r="D49" s="8" t="s">
        <v>23</v>
      </c>
      <c r="E49" s="9">
        <v>152</v>
      </c>
      <c r="F49" s="9">
        <v>2026</v>
      </c>
      <c r="G49" s="9">
        <v>496</v>
      </c>
      <c r="H49" s="9">
        <v>255</v>
      </c>
      <c r="I49" s="10">
        <f t="shared" si="0"/>
        <v>51.411290322580648</v>
      </c>
      <c r="J49" s="9">
        <v>241</v>
      </c>
      <c r="K49" s="10">
        <f t="shared" si="1"/>
        <v>48.588709677419359</v>
      </c>
      <c r="L49" s="9">
        <v>2813</v>
      </c>
      <c r="M49" s="9">
        <v>2.097404906</v>
      </c>
      <c r="N49" s="10">
        <f t="shared" si="2"/>
        <v>7.45611413437611E-2</v>
      </c>
      <c r="O49" s="9">
        <v>0</v>
      </c>
      <c r="P49" s="11"/>
      <c r="Q49" s="11"/>
      <c r="R49" s="11"/>
      <c r="S49" s="11"/>
      <c r="T49" s="11"/>
      <c r="U49" s="11"/>
      <c r="V49" s="11"/>
      <c r="W49" s="12"/>
      <c r="X49" s="12"/>
      <c r="Y49" s="12"/>
      <c r="Z49" s="12"/>
      <c r="AA49" s="12"/>
      <c r="AB49" s="12"/>
      <c r="AC49" s="12"/>
    </row>
    <row r="50" spans="1:29" ht="24.95" customHeight="1">
      <c r="A50" s="32"/>
      <c r="B50" s="6">
        <v>46</v>
      </c>
      <c r="C50" s="17" t="s">
        <v>100</v>
      </c>
      <c r="D50" s="8" t="s">
        <v>30</v>
      </c>
      <c r="E50" s="18">
        <v>85</v>
      </c>
      <c r="F50" s="18">
        <v>1026</v>
      </c>
      <c r="G50" s="18">
        <v>3374</v>
      </c>
      <c r="H50" s="18">
        <v>1866</v>
      </c>
      <c r="I50" s="10">
        <f t="shared" si="0"/>
        <v>55.305275637225847</v>
      </c>
      <c r="J50" s="18">
        <v>1508</v>
      </c>
      <c r="K50" s="10">
        <f t="shared" si="1"/>
        <v>44.69472436277416</v>
      </c>
      <c r="L50" s="9">
        <v>6456</v>
      </c>
      <c r="M50" s="9">
        <v>6.7069392810000004</v>
      </c>
      <c r="N50" s="10">
        <f t="shared" si="2"/>
        <v>0.10388691575278812</v>
      </c>
      <c r="O50" s="9">
        <v>1.3277000000000001E-2</v>
      </c>
      <c r="P50" s="11"/>
      <c r="Q50" s="11"/>
      <c r="R50" s="11"/>
      <c r="S50" s="11"/>
      <c r="T50" s="11"/>
      <c r="U50" s="11"/>
      <c r="V50" s="11"/>
      <c r="W50" s="12"/>
      <c r="X50" s="12"/>
      <c r="Y50" s="12"/>
      <c r="Z50" s="12"/>
      <c r="AA50" s="12"/>
      <c r="AB50" s="12"/>
      <c r="AC50" s="12"/>
    </row>
    <row r="51" spans="1:29" ht="24.95" customHeight="1">
      <c r="A51" s="29"/>
      <c r="B51" s="6">
        <v>47</v>
      </c>
      <c r="C51" s="7" t="s">
        <v>101</v>
      </c>
      <c r="D51" s="8" t="s">
        <v>23</v>
      </c>
      <c r="E51" s="9">
        <v>138</v>
      </c>
      <c r="F51" s="9">
        <v>1769</v>
      </c>
      <c r="G51" s="9">
        <v>2026</v>
      </c>
      <c r="H51" s="9">
        <v>1083</v>
      </c>
      <c r="I51" s="10">
        <f t="shared" si="0"/>
        <v>53.455083909180658</v>
      </c>
      <c r="J51" s="9">
        <v>943</v>
      </c>
      <c r="K51" s="10">
        <f t="shared" si="1"/>
        <v>46.544916090819349</v>
      </c>
      <c r="L51" s="9">
        <v>7750</v>
      </c>
      <c r="M51" s="9">
        <v>3.0064516129999999</v>
      </c>
      <c r="N51" s="10">
        <f t="shared" si="2"/>
        <v>3.8792924038709674E-2</v>
      </c>
      <c r="O51" s="9">
        <v>0.540524</v>
      </c>
      <c r="P51" s="11"/>
      <c r="Q51" s="11"/>
      <c r="R51" s="11"/>
      <c r="S51" s="11"/>
      <c r="T51" s="11"/>
      <c r="U51" s="11"/>
      <c r="V51" s="11"/>
      <c r="W51" s="12"/>
      <c r="X51" s="12"/>
      <c r="Y51" s="12"/>
      <c r="Z51" s="12"/>
      <c r="AA51" s="12"/>
      <c r="AB51" s="12"/>
      <c r="AC51" s="12"/>
    </row>
    <row r="52" spans="1:29" ht="24.95" customHeight="1">
      <c r="A52" s="19" t="s">
        <v>102</v>
      </c>
      <c r="B52" s="6">
        <v>48</v>
      </c>
      <c r="C52" s="7" t="s">
        <v>103</v>
      </c>
      <c r="D52" s="8" t="s">
        <v>30</v>
      </c>
      <c r="E52" s="9">
        <v>182</v>
      </c>
      <c r="F52" s="9">
        <v>1109</v>
      </c>
      <c r="G52" s="9">
        <v>3692</v>
      </c>
      <c r="H52" s="9">
        <v>1891</v>
      </c>
      <c r="I52" s="10">
        <f t="shared" si="0"/>
        <v>51.218851570964254</v>
      </c>
      <c r="J52" s="9">
        <v>1801</v>
      </c>
      <c r="K52" s="10">
        <f t="shared" si="1"/>
        <v>48.781148429035753</v>
      </c>
      <c r="L52" s="9">
        <v>5382</v>
      </c>
      <c r="M52" s="9">
        <v>6.4845782239999998</v>
      </c>
      <c r="N52" s="10">
        <f t="shared" si="2"/>
        <v>0.12048640327015979</v>
      </c>
      <c r="O52" s="9">
        <v>0</v>
      </c>
      <c r="P52" s="11"/>
      <c r="Q52" s="11"/>
      <c r="R52" s="11"/>
      <c r="S52" s="11"/>
      <c r="T52" s="11"/>
      <c r="U52" s="11"/>
      <c r="V52" s="11"/>
      <c r="W52" s="12"/>
      <c r="X52" s="12"/>
      <c r="Y52" s="12"/>
      <c r="Z52" s="12"/>
      <c r="AA52" s="12"/>
      <c r="AB52" s="12"/>
      <c r="AC52" s="12"/>
    </row>
    <row r="53" spans="1:29" ht="24.95" customHeight="1">
      <c r="A53" s="19" t="s">
        <v>104</v>
      </c>
      <c r="B53" s="6">
        <v>49</v>
      </c>
      <c r="C53" s="7" t="s">
        <v>105</v>
      </c>
      <c r="D53" s="8" t="s">
        <v>40</v>
      </c>
      <c r="E53" s="9">
        <v>62</v>
      </c>
      <c r="F53" s="9">
        <v>660</v>
      </c>
      <c r="G53" s="9">
        <v>2042</v>
      </c>
      <c r="H53" s="9">
        <v>1187</v>
      </c>
      <c r="I53" s="10">
        <f t="shared" si="0"/>
        <v>58.129285014691476</v>
      </c>
      <c r="J53" s="9">
        <v>855</v>
      </c>
      <c r="K53" s="10">
        <f t="shared" si="1"/>
        <v>41.870714985308524</v>
      </c>
      <c r="L53" s="9">
        <v>13614</v>
      </c>
      <c r="M53" s="9">
        <v>7.4482150730000001</v>
      </c>
      <c r="N53" s="10">
        <f t="shared" si="2"/>
        <v>5.4709968216541789E-2</v>
      </c>
      <c r="O53" s="9">
        <v>16.983091999999999</v>
      </c>
      <c r="P53" s="11"/>
      <c r="Q53" s="11"/>
      <c r="R53" s="11"/>
      <c r="S53" s="11"/>
      <c r="T53" s="11"/>
      <c r="U53" s="11"/>
      <c r="V53" s="11"/>
      <c r="W53" s="12"/>
      <c r="X53" s="12"/>
      <c r="Y53" s="12"/>
      <c r="Z53" s="12"/>
      <c r="AA53" s="12"/>
      <c r="AB53" s="12"/>
      <c r="AC53" s="12"/>
    </row>
    <row r="54" spans="1:29" ht="24.95" customHeight="1">
      <c r="A54" s="28" t="s">
        <v>106</v>
      </c>
      <c r="B54" s="6">
        <v>50</v>
      </c>
      <c r="C54" s="7" t="s">
        <v>107</v>
      </c>
      <c r="D54" s="8" t="s">
        <v>30</v>
      </c>
      <c r="E54" s="9">
        <v>94</v>
      </c>
      <c r="F54" s="9">
        <v>1578</v>
      </c>
      <c r="G54" s="9">
        <v>121</v>
      </c>
      <c r="H54" s="9">
        <v>67</v>
      </c>
      <c r="I54" s="10">
        <f t="shared" si="0"/>
        <v>55.371900826446286</v>
      </c>
      <c r="J54" s="9">
        <v>54</v>
      </c>
      <c r="K54" s="10">
        <f t="shared" si="1"/>
        <v>44.628099173553721</v>
      </c>
      <c r="L54" s="9">
        <v>1382</v>
      </c>
      <c r="M54" s="9">
        <v>4.1244573080000002</v>
      </c>
      <c r="N54" s="10">
        <f t="shared" si="2"/>
        <v>0.29844119450072359</v>
      </c>
      <c r="O54" s="9">
        <v>0</v>
      </c>
      <c r="P54" s="11"/>
      <c r="Q54" s="11"/>
      <c r="R54" s="11"/>
      <c r="S54" s="11"/>
      <c r="T54" s="11"/>
      <c r="U54" s="11"/>
      <c r="V54" s="11"/>
      <c r="W54" s="12"/>
      <c r="X54" s="12"/>
      <c r="Y54" s="12"/>
      <c r="Z54" s="12"/>
      <c r="AA54" s="12"/>
      <c r="AB54" s="12"/>
      <c r="AC54" s="12"/>
    </row>
    <row r="55" spans="1:29" ht="24.95" customHeight="1">
      <c r="A55" s="32"/>
      <c r="B55" s="6">
        <v>51</v>
      </c>
      <c r="C55" s="7" t="s">
        <v>108</v>
      </c>
      <c r="D55" s="8" t="s">
        <v>30</v>
      </c>
      <c r="E55" s="8">
        <v>21</v>
      </c>
      <c r="F55" s="8">
        <v>1123</v>
      </c>
      <c r="G55" s="8">
        <v>336</v>
      </c>
      <c r="H55" s="8">
        <v>180</v>
      </c>
      <c r="I55" s="10">
        <f t="shared" si="0"/>
        <v>53.571428571428569</v>
      </c>
      <c r="J55" s="8">
        <v>156</v>
      </c>
      <c r="K55" s="10">
        <f t="shared" si="1"/>
        <v>46.428571428571431</v>
      </c>
      <c r="L55" s="9">
        <v>3460</v>
      </c>
      <c r="M55" s="9">
        <v>5.1734104050000003</v>
      </c>
      <c r="N55" s="10">
        <f t="shared" si="2"/>
        <v>0.14952053193641621</v>
      </c>
      <c r="O55" s="9">
        <v>0.60052499999999998</v>
      </c>
      <c r="P55" s="11"/>
      <c r="Q55" s="11"/>
      <c r="R55" s="11"/>
      <c r="S55" s="11"/>
      <c r="T55" s="11"/>
      <c r="U55" s="11"/>
      <c r="V55" s="11"/>
      <c r="W55" s="12"/>
      <c r="X55" s="12"/>
      <c r="Y55" s="12"/>
      <c r="Z55" s="12"/>
      <c r="AA55" s="12"/>
      <c r="AB55" s="12"/>
      <c r="AC55" s="12"/>
    </row>
    <row r="56" spans="1:29" ht="24.95" customHeight="1">
      <c r="A56" s="32"/>
      <c r="B56" s="6">
        <v>52</v>
      </c>
      <c r="C56" s="7" t="s">
        <v>109</v>
      </c>
      <c r="D56" s="8" t="s">
        <v>30</v>
      </c>
      <c r="E56" s="9">
        <v>61</v>
      </c>
      <c r="F56" s="9">
        <v>1467</v>
      </c>
      <c r="G56" s="9">
        <v>999</v>
      </c>
      <c r="H56" s="9">
        <v>555</v>
      </c>
      <c r="I56" s="10">
        <f t="shared" si="0"/>
        <v>55.555555555555557</v>
      </c>
      <c r="J56" s="9">
        <v>444</v>
      </c>
      <c r="K56" s="10">
        <f t="shared" si="1"/>
        <v>44.444444444444443</v>
      </c>
      <c r="L56" s="9">
        <v>3920</v>
      </c>
      <c r="M56" s="9">
        <v>5.3316326529999998</v>
      </c>
      <c r="N56" s="10">
        <f t="shared" si="2"/>
        <v>0.1360110370663265</v>
      </c>
      <c r="O56" s="9">
        <v>5.5407229999999998</v>
      </c>
      <c r="P56" s="11"/>
      <c r="Q56" s="11"/>
      <c r="R56" s="11"/>
      <c r="S56" s="11"/>
      <c r="T56" s="11"/>
      <c r="U56" s="11"/>
      <c r="V56" s="11"/>
      <c r="W56" s="12"/>
      <c r="X56" s="12"/>
      <c r="Y56" s="12"/>
      <c r="Z56" s="12"/>
      <c r="AA56" s="12"/>
      <c r="AB56" s="12"/>
      <c r="AC56" s="12"/>
    </row>
    <row r="57" spans="1:29" ht="24.95" customHeight="1">
      <c r="A57" s="32"/>
      <c r="B57" s="6">
        <v>53</v>
      </c>
      <c r="C57" s="7" t="s">
        <v>110</v>
      </c>
      <c r="D57" s="8" t="s">
        <v>23</v>
      </c>
      <c r="E57" s="9">
        <v>121</v>
      </c>
      <c r="F57" s="9">
        <v>1854</v>
      </c>
      <c r="G57" s="9">
        <v>1097</v>
      </c>
      <c r="H57" s="9">
        <v>658</v>
      </c>
      <c r="I57" s="10">
        <f t="shared" si="0"/>
        <v>59.981768459434825</v>
      </c>
      <c r="J57" s="9">
        <v>439</v>
      </c>
      <c r="K57" s="10">
        <f t="shared" si="1"/>
        <v>40.018231540565182</v>
      </c>
      <c r="L57" s="9">
        <v>4940</v>
      </c>
      <c r="M57" s="9">
        <v>3.7651821860000001</v>
      </c>
      <c r="N57" s="10">
        <f t="shared" si="2"/>
        <v>7.6218262874493931E-2</v>
      </c>
      <c r="O57" s="9">
        <v>0.120779</v>
      </c>
      <c r="P57" s="11"/>
      <c r="Q57" s="11"/>
      <c r="R57" s="11"/>
      <c r="S57" s="11"/>
      <c r="T57" s="11"/>
      <c r="U57" s="11"/>
      <c r="V57" s="11"/>
      <c r="W57" s="12"/>
      <c r="X57" s="12"/>
      <c r="Y57" s="12"/>
      <c r="Z57" s="12"/>
      <c r="AA57" s="12"/>
      <c r="AB57" s="12"/>
      <c r="AC57" s="12"/>
    </row>
    <row r="58" spans="1:29" ht="24.95" customHeight="1">
      <c r="A58" s="32"/>
      <c r="B58" s="6">
        <v>54</v>
      </c>
      <c r="C58" s="7" t="s">
        <v>111</v>
      </c>
      <c r="D58" s="8" t="s">
        <v>23</v>
      </c>
      <c r="E58" s="9">
        <v>78</v>
      </c>
      <c r="F58" s="9">
        <v>1912</v>
      </c>
      <c r="G58" s="9">
        <v>653</v>
      </c>
      <c r="H58" s="9">
        <v>376</v>
      </c>
      <c r="I58" s="10">
        <f t="shared" si="0"/>
        <v>57.580398162327718</v>
      </c>
      <c r="J58" s="9">
        <v>277</v>
      </c>
      <c r="K58" s="10">
        <f t="shared" si="1"/>
        <v>42.419601837672282</v>
      </c>
      <c r="L58" s="9">
        <v>4706</v>
      </c>
      <c r="M58" s="9">
        <v>2.1249468760000001</v>
      </c>
      <c r="N58" s="10">
        <f t="shared" si="2"/>
        <v>4.5153992265193371E-2</v>
      </c>
      <c r="O58" s="9">
        <v>1.4463E-2</v>
      </c>
      <c r="P58" s="11"/>
      <c r="Q58" s="11"/>
      <c r="R58" s="11"/>
      <c r="S58" s="11"/>
      <c r="T58" s="11"/>
      <c r="U58" s="11"/>
      <c r="V58" s="11"/>
      <c r="W58" s="12"/>
      <c r="X58" s="12"/>
      <c r="Y58" s="12"/>
      <c r="Z58" s="12"/>
      <c r="AA58" s="12"/>
      <c r="AB58" s="12"/>
      <c r="AC58" s="12"/>
    </row>
    <row r="59" spans="1:29" ht="24.95" customHeight="1">
      <c r="A59" s="32"/>
      <c r="B59" s="6">
        <v>55</v>
      </c>
      <c r="C59" s="7" t="s">
        <v>112</v>
      </c>
      <c r="D59" s="8" t="s">
        <v>30</v>
      </c>
      <c r="E59" s="9">
        <v>119</v>
      </c>
      <c r="F59" s="9">
        <v>1529</v>
      </c>
      <c r="G59" s="9">
        <v>51771</v>
      </c>
      <c r="H59" s="9">
        <v>28724</v>
      </c>
      <c r="I59" s="10">
        <f t="shared" si="0"/>
        <v>55.482799250545668</v>
      </c>
      <c r="J59" s="9">
        <v>23047</v>
      </c>
      <c r="K59" s="10">
        <f t="shared" si="1"/>
        <v>44.517200749454325</v>
      </c>
      <c r="L59" s="9">
        <v>84771</v>
      </c>
      <c r="M59" s="9">
        <v>4.2239511170000004</v>
      </c>
      <c r="N59" s="10">
        <f t="shared" si="2"/>
        <v>4.9827784466385918E-3</v>
      </c>
      <c r="O59" s="9">
        <v>61.113081000000001</v>
      </c>
      <c r="P59" s="11"/>
      <c r="Q59" s="11"/>
      <c r="R59" s="11"/>
      <c r="S59" s="11"/>
      <c r="T59" s="11"/>
      <c r="U59" s="11"/>
      <c r="V59" s="11"/>
      <c r="W59" s="12"/>
      <c r="X59" s="12"/>
      <c r="Y59" s="12"/>
      <c r="Z59" s="12"/>
      <c r="AA59" s="12"/>
      <c r="AB59" s="12"/>
      <c r="AC59" s="12"/>
    </row>
    <row r="60" spans="1:29" ht="24.95" customHeight="1">
      <c r="A60" s="32"/>
      <c r="B60" s="6">
        <v>56</v>
      </c>
      <c r="C60" s="7" t="s">
        <v>113</v>
      </c>
      <c r="D60" s="8" t="s">
        <v>23</v>
      </c>
      <c r="E60" s="9">
        <v>92</v>
      </c>
      <c r="F60" s="9">
        <v>1599</v>
      </c>
      <c r="G60" s="9">
        <v>818</v>
      </c>
      <c r="H60" s="9">
        <v>439</v>
      </c>
      <c r="I60" s="10">
        <f t="shared" si="0"/>
        <v>53.66748166259169</v>
      </c>
      <c r="J60" s="9">
        <v>379</v>
      </c>
      <c r="K60" s="10">
        <f t="shared" si="1"/>
        <v>46.33251833740831</v>
      </c>
      <c r="L60" s="9">
        <v>4453</v>
      </c>
      <c r="M60" s="9">
        <v>3.5505617979999999</v>
      </c>
      <c r="N60" s="10">
        <f t="shared" si="2"/>
        <v>7.9734152211991913E-2</v>
      </c>
      <c r="O60" s="9">
        <v>0.24197399999999999</v>
      </c>
      <c r="P60" s="11"/>
      <c r="Q60" s="11"/>
      <c r="R60" s="11"/>
      <c r="S60" s="11"/>
      <c r="T60" s="11"/>
      <c r="U60" s="11"/>
      <c r="V60" s="11"/>
      <c r="W60" s="12"/>
      <c r="X60" s="12"/>
      <c r="Y60" s="12"/>
      <c r="Z60" s="12"/>
      <c r="AA60" s="12"/>
      <c r="AB60" s="12"/>
      <c r="AC60" s="12"/>
    </row>
    <row r="61" spans="1:29" ht="24.95" customHeight="1">
      <c r="A61" s="29"/>
      <c r="B61" s="6">
        <v>57</v>
      </c>
      <c r="C61" s="17" t="s">
        <v>114</v>
      </c>
      <c r="D61" s="8" t="s">
        <v>23</v>
      </c>
      <c r="E61" s="9">
        <v>103</v>
      </c>
      <c r="F61" s="9">
        <v>1807</v>
      </c>
      <c r="G61" s="18">
        <v>3402</v>
      </c>
      <c r="H61" s="18">
        <v>1825</v>
      </c>
      <c r="I61" s="10">
        <f t="shared" si="0"/>
        <v>53.644914756025862</v>
      </c>
      <c r="J61" s="18">
        <v>1577</v>
      </c>
      <c r="K61" s="10">
        <f t="shared" si="1"/>
        <v>46.355085243974131</v>
      </c>
      <c r="L61" s="9">
        <v>7250</v>
      </c>
      <c r="M61" s="9">
        <v>2.634482759</v>
      </c>
      <c r="N61" s="10">
        <f t="shared" si="2"/>
        <v>3.6337693227586211E-2</v>
      </c>
      <c r="O61" s="9">
        <v>2.7552E-2</v>
      </c>
      <c r="P61" s="11"/>
      <c r="Q61" s="11"/>
      <c r="R61" s="11"/>
      <c r="S61" s="11"/>
      <c r="T61" s="11"/>
      <c r="U61" s="11"/>
      <c r="V61" s="11"/>
      <c r="W61" s="12"/>
      <c r="X61" s="12"/>
      <c r="Y61" s="12"/>
      <c r="Z61" s="12"/>
      <c r="AA61" s="12"/>
      <c r="AB61" s="12"/>
      <c r="AC61" s="12"/>
    </row>
    <row r="62" spans="1:29" ht="24.95" customHeight="1">
      <c r="A62" s="28" t="s">
        <v>115</v>
      </c>
      <c r="B62" s="6">
        <v>58</v>
      </c>
      <c r="C62" s="7" t="s">
        <v>116</v>
      </c>
      <c r="D62" s="8" t="s">
        <v>23</v>
      </c>
      <c r="E62" s="9">
        <v>187</v>
      </c>
      <c r="F62" s="9">
        <v>2176</v>
      </c>
      <c r="G62" s="9">
        <v>395</v>
      </c>
      <c r="H62" s="9">
        <v>261</v>
      </c>
      <c r="I62" s="10">
        <f t="shared" si="0"/>
        <v>66.075949367088612</v>
      </c>
      <c r="J62" s="9">
        <v>134</v>
      </c>
      <c r="K62" s="10">
        <f t="shared" si="1"/>
        <v>33.924050632911388</v>
      </c>
      <c r="L62" s="9">
        <v>3373</v>
      </c>
      <c r="M62" s="9">
        <v>1.571767497</v>
      </c>
      <c r="N62" s="10">
        <f t="shared" si="2"/>
        <v>4.6598502727542249E-2</v>
      </c>
      <c r="O62" s="9">
        <v>0</v>
      </c>
      <c r="P62" s="11"/>
      <c r="Q62" s="11"/>
      <c r="R62" s="11"/>
      <c r="S62" s="11"/>
      <c r="T62" s="11"/>
      <c r="U62" s="11"/>
      <c r="V62" s="11"/>
      <c r="W62" s="12"/>
      <c r="X62" s="12"/>
      <c r="Y62" s="12"/>
      <c r="Z62" s="12"/>
      <c r="AA62" s="12"/>
      <c r="AB62" s="12"/>
      <c r="AC62" s="12"/>
    </row>
    <row r="63" spans="1:29" ht="24.95" customHeight="1">
      <c r="A63" s="32"/>
      <c r="B63" s="6">
        <v>59</v>
      </c>
      <c r="C63" s="7" t="s">
        <v>117</v>
      </c>
      <c r="D63" s="8" t="s">
        <v>23</v>
      </c>
      <c r="E63" s="9">
        <v>183</v>
      </c>
      <c r="F63" s="9">
        <v>2314</v>
      </c>
      <c r="G63" s="9">
        <v>390</v>
      </c>
      <c r="H63" s="9">
        <v>232</v>
      </c>
      <c r="I63" s="10">
        <f t="shared" si="0"/>
        <v>59.487179487179489</v>
      </c>
      <c r="J63" s="9">
        <v>158</v>
      </c>
      <c r="K63" s="10">
        <f t="shared" si="1"/>
        <v>40.512820512820511</v>
      </c>
      <c r="L63" s="9">
        <v>4731</v>
      </c>
      <c r="M63" s="9">
        <v>1.0568590149999999</v>
      </c>
      <c r="N63" s="10">
        <f t="shared" si="2"/>
        <v>2.2339019551891773E-2</v>
      </c>
      <c r="O63" s="9">
        <v>0.60667300000000002</v>
      </c>
      <c r="P63" s="11"/>
      <c r="Q63" s="11"/>
      <c r="R63" s="11"/>
      <c r="S63" s="11"/>
      <c r="T63" s="11"/>
      <c r="U63" s="11"/>
      <c r="V63" s="11"/>
      <c r="W63" s="12"/>
      <c r="X63" s="12"/>
      <c r="Y63" s="12"/>
      <c r="Z63" s="12"/>
      <c r="AA63" s="12"/>
      <c r="AB63" s="12"/>
      <c r="AC63" s="12"/>
    </row>
    <row r="64" spans="1:29" ht="24.95" customHeight="1">
      <c r="A64" s="32"/>
      <c r="B64" s="6">
        <v>60</v>
      </c>
      <c r="C64" s="7" t="s">
        <v>118</v>
      </c>
      <c r="D64" s="8" t="s">
        <v>63</v>
      </c>
      <c r="E64" s="9">
        <v>41</v>
      </c>
      <c r="F64" s="9">
        <v>426</v>
      </c>
      <c r="G64" s="9">
        <v>922</v>
      </c>
      <c r="H64" s="9">
        <v>573</v>
      </c>
      <c r="I64" s="10">
        <f t="shared" si="0"/>
        <v>62.14750542299349</v>
      </c>
      <c r="J64" s="9">
        <v>349</v>
      </c>
      <c r="K64" s="10">
        <f t="shared" si="1"/>
        <v>37.85249457700651</v>
      </c>
      <c r="L64" s="9">
        <v>5968</v>
      </c>
      <c r="M64" s="9">
        <v>13.03837774</v>
      </c>
      <c r="N64" s="10">
        <f t="shared" si="2"/>
        <v>0.21847147687667559</v>
      </c>
      <c r="O64" s="9">
        <v>3.9558000000000003E-2</v>
      </c>
      <c r="P64" s="11"/>
      <c r="Q64" s="11"/>
      <c r="R64" s="11"/>
      <c r="S64" s="11"/>
      <c r="T64" s="11"/>
      <c r="U64" s="11"/>
      <c r="V64" s="11"/>
      <c r="W64" s="12"/>
      <c r="X64" s="12"/>
      <c r="Y64" s="12"/>
      <c r="Z64" s="12"/>
      <c r="AA64" s="12"/>
      <c r="AB64" s="12"/>
      <c r="AC64" s="12"/>
    </row>
    <row r="65" spans="1:29" ht="24.95" customHeight="1">
      <c r="A65" s="32"/>
      <c r="B65" s="6">
        <v>61</v>
      </c>
      <c r="C65" s="7" t="s">
        <v>119</v>
      </c>
      <c r="D65" s="8" t="s">
        <v>23</v>
      </c>
      <c r="E65" s="9">
        <v>185</v>
      </c>
      <c r="F65" s="9">
        <v>2161</v>
      </c>
      <c r="G65" s="9">
        <v>123</v>
      </c>
      <c r="H65" s="9">
        <v>85</v>
      </c>
      <c r="I65" s="10">
        <f t="shared" si="0"/>
        <v>69.105691056910572</v>
      </c>
      <c r="J65" s="9">
        <v>38</v>
      </c>
      <c r="K65" s="10">
        <f t="shared" si="1"/>
        <v>30.894308943089431</v>
      </c>
      <c r="L65" s="9">
        <v>3498</v>
      </c>
      <c r="M65" s="9">
        <v>1.6032064130000001</v>
      </c>
      <c r="N65" s="10">
        <f t="shared" si="2"/>
        <v>4.583208727844483E-2</v>
      </c>
      <c r="O65" s="9">
        <v>0.17483499999999999</v>
      </c>
      <c r="P65" s="11"/>
      <c r="Q65" s="11"/>
      <c r="R65" s="11"/>
      <c r="S65" s="11"/>
      <c r="T65" s="11"/>
      <c r="U65" s="11"/>
      <c r="V65" s="11"/>
      <c r="W65" s="12"/>
      <c r="X65" s="12"/>
      <c r="Y65" s="12"/>
      <c r="Z65" s="12"/>
      <c r="AA65" s="12"/>
      <c r="AB65" s="12"/>
      <c r="AC65" s="12"/>
    </row>
    <row r="66" spans="1:29" ht="24.95" customHeight="1">
      <c r="A66" s="32"/>
      <c r="B66" s="6">
        <v>62</v>
      </c>
      <c r="C66" s="7" t="s">
        <v>120</v>
      </c>
      <c r="D66" s="8" t="s">
        <v>23</v>
      </c>
      <c r="E66" s="9">
        <v>207</v>
      </c>
      <c r="F66" s="9">
        <v>2266</v>
      </c>
      <c r="G66" s="9">
        <v>1034</v>
      </c>
      <c r="H66" s="9">
        <v>558</v>
      </c>
      <c r="I66" s="10">
        <f t="shared" si="0"/>
        <v>53.965183752417801</v>
      </c>
      <c r="J66" s="9">
        <v>476</v>
      </c>
      <c r="K66" s="10">
        <f t="shared" si="1"/>
        <v>46.034816247582206</v>
      </c>
      <c r="L66" s="9">
        <v>3281</v>
      </c>
      <c r="M66" s="9">
        <v>1.554878049</v>
      </c>
      <c r="N66" s="10">
        <f t="shared" si="2"/>
        <v>4.7390370283450167E-2</v>
      </c>
      <c r="O66" s="9">
        <v>0</v>
      </c>
      <c r="P66" s="11"/>
      <c r="Q66" s="11"/>
      <c r="R66" s="11"/>
      <c r="S66" s="11"/>
      <c r="T66" s="11"/>
      <c r="U66" s="11"/>
      <c r="V66" s="11"/>
      <c r="W66" s="12"/>
      <c r="X66" s="12"/>
      <c r="Y66" s="12"/>
      <c r="Z66" s="12"/>
      <c r="AA66" s="12"/>
      <c r="AB66" s="12"/>
      <c r="AC66" s="12"/>
    </row>
    <row r="67" spans="1:29" ht="24.95" customHeight="1">
      <c r="A67" s="29"/>
      <c r="B67" s="6">
        <v>63</v>
      </c>
      <c r="C67" s="7" t="s">
        <v>121</v>
      </c>
      <c r="D67" s="8" t="s">
        <v>23</v>
      </c>
      <c r="E67" s="9">
        <v>87</v>
      </c>
      <c r="F67" s="9">
        <v>2063</v>
      </c>
      <c r="G67" s="9">
        <v>1895</v>
      </c>
      <c r="H67" s="9">
        <v>1136</v>
      </c>
      <c r="I67" s="10">
        <f t="shared" si="0"/>
        <v>59.947229551451187</v>
      </c>
      <c r="J67" s="9">
        <v>759</v>
      </c>
      <c r="K67" s="10">
        <f t="shared" si="1"/>
        <v>40.052770448548813</v>
      </c>
      <c r="L67" s="9">
        <v>16324</v>
      </c>
      <c r="M67" s="9">
        <v>1.534290468</v>
      </c>
      <c r="N67" s="10">
        <f t="shared" si="2"/>
        <v>9.3989859593236955E-3</v>
      </c>
      <c r="O67" s="9">
        <v>14.220362</v>
      </c>
      <c r="P67" s="11"/>
      <c r="Q67" s="11"/>
      <c r="R67" s="11"/>
      <c r="S67" s="11"/>
      <c r="T67" s="11"/>
      <c r="U67" s="11"/>
      <c r="V67" s="11"/>
      <c r="W67" s="12"/>
      <c r="X67" s="12"/>
      <c r="Y67" s="12"/>
      <c r="Z67" s="12"/>
      <c r="AA67" s="12"/>
      <c r="AB67" s="12"/>
      <c r="AC67" s="12"/>
    </row>
    <row r="68" spans="1:29" ht="24.95" customHeight="1">
      <c r="A68" s="19" t="s">
        <v>122</v>
      </c>
      <c r="B68" s="6">
        <v>64</v>
      </c>
      <c r="C68" s="20" t="s">
        <v>123</v>
      </c>
      <c r="D68" s="8" t="s">
        <v>63</v>
      </c>
      <c r="E68" s="9">
        <v>16</v>
      </c>
      <c r="F68" s="9">
        <v>378</v>
      </c>
      <c r="G68" s="9">
        <v>64</v>
      </c>
      <c r="H68" s="9">
        <v>35</v>
      </c>
      <c r="I68" s="10">
        <f t="shared" si="0"/>
        <v>54.6875</v>
      </c>
      <c r="J68" s="9">
        <v>29</v>
      </c>
      <c r="K68" s="10">
        <f t="shared" si="1"/>
        <v>45.3125</v>
      </c>
      <c r="L68" s="9">
        <v>1160</v>
      </c>
      <c r="M68" s="9">
        <v>28.300258840000001</v>
      </c>
      <c r="N68" s="10">
        <f t="shared" si="2"/>
        <v>2.4396774862068966</v>
      </c>
      <c r="O68" s="9">
        <v>0</v>
      </c>
      <c r="P68" s="11"/>
      <c r="Q68" s="11"/>
      <c r="R68" s="11"/>
      <c r="S68" s="11"/>
      <c r="T68" s="11"/>
      <c r="U68" s="11"/>
      <c r="V68" s="11"/>
      <c r="W68" s="12"/>
      <c r="X68" s="12"/>
      <c r="Y68" s="12"/>
      <c r="Z68" s="12"/>
      <c r="AA68" s="12"/>
      <c r="AB68" s="12"/>
      <c r="AC68" s="12"/>
    </row>
    <row r="69" spans="1:29" ht="24.95" customHeight="1">
      <c r="A69" s="28" t="s">
        <v>124</v>
      </c>
      <c r="B69" s="6">
        <v>65</v>
      </c>
      <c r="C69" s="7" t="s">
        <v>125</v>
      </c>
      <c r="D69" s="8" t="s">
        <v>40</v>
      </c>
      <c r="E69" s="9">
        <v>56</v>
      </c>
      <c r="F69" s="9">
        <v>739</v>
      </c>
      <c r="G69" s="9">
        <v>225</v>
      </c>
      <c r="H69" s="9">
        <v>116</v>
      </c>
      <c r="I69" s="10">
        <f t="shared" si="0"/>
        <v>51.555555555555557</v>
      </c>
      <c r="J69" s="9">
        <v>109</v>
      </c>
      <c r="K69" s="10">
        <f t="shared" si="1"/>
        <v>48.444444444444443</v>
      </c>
      <c r="L69" s="9">
        <v>1160</v>
      </c>
      <c r="M69" s="9">
        <v>13.569576489999999</v>
      </c>
      <c r="N69" s="10">
        <f t="shared" si="2"/>
        <v>1.169791076724138</v>
      </c>
      <c r="O69" s="9">
        <v>0</v>
      </c>
      <c r="P69" s="11"/>
      <c r="Q69" s="11"/>
      <c r="R69" s="11"/>
      <c r="S69" s="11"/>
      <c r="T69" s="11"/>
      <c r="U69" s="11"/>
      <c r="V69" s="11"/>
      <c r="W69" s="12"/>
      <c r="X69" s="12"/>
      <c r="Y69" s="12"/>
      <c r="Z69" s="12"/>
      <c r="AA69" s="12"/>
      <c r="AB69" s="12"/>
      <c r="AC69" s="12"/>
    </row>
    <row r="70" spans="1:29" ht="24.95" customHeight="1">
      <c r="A70" s="29"/>
      <c r="B70" s="6">
        <v>66</v>
      </c>
      <c r="C70" s="7" t="s">
        <v>126</v>
      </c>
      <c r="D70" s="8" t="s">
        <v>40</v>
      </c>
      <c r="E70" s="9">
        <v>33</v>
      </c>
      <c r="F70" s="9">
        <v>798</v>
      </c>
      <c r="G70" s="9">
        <v>78</v>
      </c>
      <c r="H70" s="9">
        <v>47</v>
      </c>
      <c r="I70" s="10">
        <f t="shared" si="0"/>
        <v>60.256410256410255</v>
      </c>
      <c r="J70" s="9">
        <v>31</v>
      </c>
      <c r="K70" s="10">
        <f t="shared" si="1"/>
        <v>39.743589743589745</v>
      </c>
      <c r="L70" s="9">
        <v>481</v>
      </c>
      <c r="M70" s="9">
        <v>14.76091476</v>
      </c>
      <c r="N70" s="10">
        <f t="shared" si="2"/>
        <v>3.0687972474012475</v>
      </c>
      <c r="O70" s="9">
        <v>0</v>
      </c>
      <c r="P70" s="11"/>
      <c r="Q70" s="11"/>
      <c r="R70" s="11"/>
      <c r="S70" s="11"/>
      <c r="T70" s="11"/>
      <c r="U70" s="11"/>
      <c r="V70" s="11"/>
      <c r="W70" s="12"/>
      <c r="X70" s="12"/>
      <c r="Y70" s="12"/>
      <c r="Z70" s="12"/>
      <c r="AA70" s="12"/>
      <c r="AB70" s="12"/>
      <c r="AC70" s="12"/>
    </row>
    <row r="71" spans="1:29" ht="24.95" customHeight="1">
      <c r="A71" s="28" t="s">
        <v>127</v>
      </c>
      <c r="B71" s="6">
        <v>67</v>
      </c>
      <c r="C71" s="7" t="s">
        <v>128</v>
      </c>
      <c r="D71" s="8" t="s">
        <v>23</v>
      </c>
      <c r="E71" s="9">
        <v>213</v>
      </c>
      <c r="F71" s="9">
        <v>2370</v>
      </c>
      <c r="G71" s="9">
        <v>126</v>
      </c>
      <c r="H71" s="9">
        <v>72</v>
      </c>
      <c r="I71" s="10">
        <f t="shared" si="0"/>
        <v>57.142857142857139</v>
      </c>
      <c r="J71" s="9">
        <v>54</v>
      </c>
      <c r="K71" s="10">
        <f t="shared" si="1"/>
        <v>42.857142857142854</v>
      </c>
      <c r="L71" s="9">
        <v>383</v>
      </c>
      <c r="M71" s="9">
        <v>1.3054830289999999</v>
      </c>
      <c r="N71" s="10">
        <f t="shared" si="2"/>
        <v>0.34085718772845952</v>
      </c>
      <c r="O71" s="9">
        <v>0</v>
      </c>
      <c r="P71" s="11"/>
      <c r="Q71" s="11"/>
      <c r="R71" s="11"/>
      <c r="S71" s="11"/>
      <c r="T71" s="11"/>
      <c r="U71" s="11"/>
      <c r="V71" s="11"/>
      <c r="W71" s="12"/>
      <c r="X71" s="12"/>
      <c r="Y71" s="12"/>
      <c r="Z71" s="12"/>
      <c r="AA71" s="12"/>
      <c r="AB71" s="12"/>
      <c r="AC71" s="12"/>
    </row>
    <row r="72" spans="1:29" ht="24.95" customHeight="1">
      <c r="A72" s="32"/>
      <c r="B72" s="6">
        <v>68</v>
      </c>
      <c r="C72" s="7" t="s">
        <v>129</v>
      </c>
      <c r="D72" s="8" t="s">
        <v>30</v>
      </c>
      <c r="E72" s="9">
        <v>159</v>
      </c>
      <c r="F72" s="9">
        <v>1547</v>
      </c>
      <c r="G72" s="9">
        <v>387</v>
      </c>
      <c r="H72" s="9">
        <v>230</v>
      </c>
      <c r="I72" s="10">
        <f t="shared" si="0"/>
        <v>59.431524547803619</v>
      </c>
      <c r="J72" s="9">
        <v>157</v>
      </c>
      <c r="K72" s="10">
        <f t="shared" si="1"/>
        <v>40.568475452196381</v>
      </c>
      <c r="L72" s="9">
        <v>1791</v>
      </c>
      <c r="M72" s="9">
        <v>4.918949134</v>
      </c>
      <c r="N72" s="10">
        <f t="shared" si="2"/>
        <v>0.27464819285315467</v>
      </c>
      <c r="O72" s="9">
        <v>0</v>
      </c>
      <c r="P72" s="11"/>
      <c r="Q72" s="11"/>
      <c r="R72" s="11"/>
      <c r="S72" s="11"/>
      <c r="T72" s="11"/>
      <c r="U72" s="11"/>
      <c r="V72" s="11"/>
      <c r="W72" s="12"/>
      <c r="X72" s="12"/>
      <c r="Y72" s="12"/>
      <c r="Z72" s="12"/>
      <c r="AA72" s="12"/>
      <c r="AB72" s="12"/>
      <c r="AC72" s="12"/>
    </row>
    <row r="73" spans="1:29" ht="24.95" customHeight="1">
      <c r="A73" s="29"/>
      <c r="B73" s="6">
        <v>69</v>
      </c>
      <c r="C73" s="7" t="s">
        <v>130</v>
      </c>
      <c r="D73" s="8" t="s">
        <v>23</v>
      </c>
      <c r="E73" s="9">
        <v>189</v>
      </c>
      <c r="F73" s="9">
        <v>2189</v>
      </c>
      <c r="G73" s="9">
        <v>53</v>
      </c>
      <c r="H73" s="9">
        <v>23</v>
      </c>
      <c r="I73" s="10">
        <f t="shared" si="0"/>
        <v>43.39622641509434</v>
      </c>
      <c r="J73" s="9">
        <v>30</v>
      </c>
      <c r="K73" s="10">
        <f t="shared" si="1"/>
        <v>56.60377358490566</v>
      </c>
      <c r="L73" s="9">
        <v>256</v>
      </c>
      <c r="M73" s="9">
        <v>1.953125</v>
      </c>
      <c r="N73" s="10">
        <f t="shared" si="2"/>
        <v>0.762939453125</v>
      </c>
      <c r="O73" s="9">
        <v>0</v>
      </c>
      <c r="P73" s="11"/>
      <c r="Q73" s="11"/>
      <c r="R73" s="11"/>
      <c r="S73" s="11"/>
      <c r="T73" s="11"/>
      <c r="U73" s="11"/>
      <c r="V73" s="11"/>
      <c r="W73" s="12"/>
      <c r="X73" s="12"/>
      <c r="Y73" s="12"/>
      <c r="Z73" s="12"/>
      <c r="AA73" s="12"/>
      <c r="AB73" s="12"/>
      <c r="AC73" s="12"/>
    </row>
    <row r="74" spans="1:29" ht="24.95" customHeight="1">
      <c r="A74" s="28" t="s">
        <v>131</v>
      </c>
      <c r="B74" s="6">
        <v>70</v>
      </c>
      <c r="C74" s="7" t="s">
        <v>132</v>
      </c>
      <c r="D74" s="8" t="s">
        <v>30</v>
      </c>
      <c r="E74" s="9">
        <v>53</v>
      </c>
      <c r="F74" s="9">
        <v>1282</v>
      </c>
      <c r="G74" s="9">
        <v>332</v>
      </c>
      <c r="H74" s="9">
        <v>164</v>
      </c>
      <c r="I74" s="10">
        <f t="shared" si="0"/>
        <v>49.397590361445779</v>
      </c>
      <c r="J74" s="9">
        <v>168</v>
      </c>
      <c r="K74" s="10">
        <f t="shared" si="1"/>
        <v>50.602409638554214</v>
      </c>
      <c r="L74" s="9">
        <v>850</v>
      </c>
      <c r="M74" s="9">
        <v>7.6470588240000001</v>
      </c>
      <c r="N74" s="10">
        <f t="shared" si="2"/>
        <v>0.89965397929411761</v>
      </c>
      <c r="O74" s="9">
        <v>0</v>
      </c>
      <c r="P74" s="11"/>
      <c r="Q74" s="11"/>
      <c r="R74" s="11"/>
      <c r="S74" s="11"/>
      <c r="T74" s="11"/>
      <c r="U74" s="11"/>
      <c r="V74" s="11"/>
      <c r="W74" s="12"/>
      <c r="X74" s="12"/>
      <c r="Y74" s="12"/>
      <c r="Z74" s="12"/>
      <c r="AA74" s="12"/>
      <c r="AB74" s="12"/>
      <c r="AC74" s="12"/>
    </row>
    <row r="75" spans="1:29" ht="24.95" customHeight="1">
      <c r="A75" s="29"/>
      <c r="B75" s="6">
        <v>71</v>
      </c>
      <c r="C75" s="7" t="s">
        <v>133</v>
      </c>
      <c r="D75" s="8" t="s">
        <v>40</v>
      </c>
      <c r="E75" s="9">
        <v>45</v>
      </c>
      <c r="F75" s="9">
        <v>611</v>
      </c>
      <c r="G75" s="9">
        <v>9852</v>
      </c>
      <c r="H75" s="9">
        <v>5327</v>
      </c>
      <c r="I75" s="10">
        <f t="shared" si="0"/>
        <v>54.070239545269992</v>
      </c>
      <c r="J75" s="9">
        <v>4525</v>
      </c>
      <c r="K75" s="10">
        <f t="shared" si="1"/>
        <v>45.929760454730008</v>
      </c>
      <c r="L75" s="9">
        <v>35345</v>
      </c>
      <c r="M75" s="9">
        <v>13.89997453</v>
      </c>
      <c r="N75" s="10">
        <f t="shared" si="2"/>
        <v>3.9326565369925022E-2</v>
      </c>
      <c r="O75" s="9">
        <v>54.226348000000002</v>
      </c>
      <c r="P75" s="11"/>
      <c r="Q75" s="11"/>
      <c r="R75" s="11"/>
      <c r="S75" s="11"/>
      <c r="T75" s="11"/>
      <c r="U75" s="11"/>
      <c r="V75" s="11"/>
      <c r="W75" s="12"/>
      <c r="X75" s="12"/>
      <c r="Y75" s="12"/>
      <c r="Z75" s="12"/>
      <c r="AA75" s="12"/>
      <c r="AB75" s="12"/>
      <c r="AC75" s="12"/>
    </row>
    <row r="76" spans="1:29" ht="24.95" customHeight="1">
      <c r="A76" s="28" t="s">
        <v>134</v>
      </c>
      <c r="B76" s="6">
        <v>72</v>
      </c>
      <c r="C76" s="7" t="s">
        <v>135</v>
      </c>
      <c r="D76" s="8" t="s">
        <v>23</v>
      </c>
      <c r="E76" s="9">
        <v>166</v>
      </c>
      <c r="F76" s="9">
        <v>1996</v>
      </c>
      <c r="G76" s="9">
        <v>10942</v>
      </c>
      <c r="H76" s="9">
        <v>5907</v>
      </c>
      <c r="I76" s="10">
        <f t="shared" si="0"/>
        <v>53.984646316943888</v>
      </c>
      <c r="J76" s="9">
        <v>5035</v>
      </c>
      <c r="K76" s="10">
        <f t="shared" si="1"/>
        <v>46.015353683056112</v>
      </c>
      <c r="L76" s="9">
        <v>30790</v>
      </c>
      <c r="M76" s="9">
        <v>1.793488856</v>
      </c>
      <c r="N76" s="10">
        <f t="shared" si="2"/>
        <v>5.8249069697953884E-3</v>
      </c>
      <c r="O76" s="9">
        <v>4.4156700000000004</v>
      </c>
      <c r="P76" s="11"/>
      <c r="Q76" s="11"/>
      <c r="R76" s="11"/>
      <c r="S76" s="11"/>
      <c r="T76" s="11"/>
      <c r="U76" s="11"/>
      <c r="V76" s="11"/>
      <c r="W76" s="12"/>
      <c r="X76" s="12"/>
      <c r="Y76" s="12"/>
      <c r="Z76" s="12"/>
      <c r="AA76" s="12"/>
      <c r="AB76" s="12"/>
      <c r="AC76" s="12"/>
    </row>
    <row r="77" spans="1:29" ht="24.95" customHeight="1">
      <c r="A77" s="32"/>
      <c r="B77" s="6">
        <v>73</v>
      </c>
      <c r="C77" s="7" t="s">
        <v>136</v>
      </c>
      <c r="D77" s="8" t="s">
        <v>23</v>
      </c>
      <c r="E77" s="9">
        <v>170</v>
      </c>
      <c r="F77" s="9">
        <v>1879</v>
      </c>
      <c r="G77" s="9">
        <v>231022</v>
      </c>
      <c r="H77" s="9">
        <v>126797</v>
      </c>
      <c r="I77" s="10">
        <f t="shared" si="0"/>
        <v>54.885249023902482</v>
      </c>
      <c r="J77" s="9">
        <v>104225</v>
      </c>
      <c r="K77" s="10">
        <f t="shared" si="1"/>
        <v>45.114750976097511</v>
      </c>
      <c r="L77" s="9">
        <v>471027</v>
      </c>
      <c r="M77" s="9">
        <v>2.4794530450000001</v>
      </c>
      <c r="N77" s="10">
        <f t="shared" si="2"/>
        <v>5.2639297641111872E-4</v>
      </c>
      <c r="O77" s="9">
        <v>130.59635900000001</v>
      </c>
      <c r="P77" s="11"/>
      <c r="Q77" s="11"/>
      <c r="R77" s="11"/>
      <c r="S77" s="11"/>
      <c r="T77" s="11"/>
      <c r="U77" s="11"/>
      <c r="V77" s="11"/>
      <c r="W77" s="12"/>
      <c r="X77" s="12"/>
      <c r="Y77" s="12"/>
      <c r="Z77" s="12"/>
      <c r="AA77" s="12"/>
      <c r="AB77" s="12"/>
      <c r="AC77" s="12"/>
    </row>
    <row r="78" spans="1:29" ht="24.95" customHeight="1">
      <c r="A78" s="29"/>
      <c r="B78" s="6">
        <v>74</v>
      </c>
      <c r="C78" s="7" t="s">
        <v>137</v>
      </c>
      <c r="D78" s="8" t="s">
        <v>23</v>
      </c>
      <c r="E78" s="9">
        <v>160</v>
      </c>
      <c r="F78" s="9">
        <v>1756</v>
      </c>
      <c r="G78" s="9">
        <v>32580</v>
      </c>
      <c r="H78" s="9">
        <v>17456</v>
      </c>
      <c r="I78" s="10">
        <f t="shared" si="0"/>
        <v>53.578882750153468</v>
      </c>
      <c r="J78" s="9">
        <v>15124</v>
      </c>
      <c r="K78" s="10">
        <f t="shared" si="1"/>
        <v>46.421117249846532</v>
      </c>
      <c r="L78" s="9">
        <v>42677</v>
      </c>
      <c r="M78" s="9">
        <v>2.4049978859999999</v>
      </c>
      <c r="N78" s="10">
        <f t="shared" si="2"/>
        <v>5.6353489842303813E-3</v>
      </c>
      <c r="O78" s="9">
        <v>9.4880770000000005</v>
      </c>
      <c r="P78" s="11"/>
      <c r="Q78" s="11"/>
      <c r="R78" s="11"/>
      <c r="S78" s="11"/>
      <c r="T78" s="11"/>
      <c r="U78" s="11"/>
      <c r="V78" s="11"/>
      <c r="W78" s="12"/>
      <c r="X78" s="12"/>
      <c r="Y78" s="12"/>
      <c r="Z78" s="12"/>
      <c r="AA78" s="12"/>
      <c r="AB78" s="12"/>
      <c r="AC78" s="12"/>
    </row>
    <row r="79" spans="1:29" ht="24.95" customHeight="1">
      <c r="A79" s="28" t="s">
        <v>138</v>
      </c>
      <c r="B79" s="6">
        <v>75</v>
      </c>
      <c r="C79" s="7" t="s">
        <v>139</v>
      </c>
      <c r="D79" s="8" t="s">
        <v>30</v>
      </c>
      <c r="E79" s="9">
        <v>110</v>
      </c>
      <c r="F79" s="9">
        <v>1583</v>
      </c>
      <c r="G79" s="9">
        <v>579</v>
      </c>
      <c r="H79" s="9">
        <v>341</v>
      </c>
      <c r="I79" s="10">
        <f t="shared" si="0"/>
        <v>58.894645941278071</v>
      </c>
      <c r="J79" s="9">
        <v>238</v>
      </c>
      <c r="K79" s="10">
        <f t="shared" si="1"/>
        <v>41.105354058721929</v>
      </c>
      <c r="L79" s="9">
        <v>3896</v>
      </c>
      <c r="M79" s="9">
        <v>5.3644763859999998</v>
      </c>
      <c r="N79" s="10">
        <f t="shared" si="2"/>
        <v>0.13769189902464066</v>
      </c>
      <c r="O79" s="9">
        <v>0.72689300000000001</v>
      </c>
      <c r="P79" s="11"/>
      <c r="Q79" s="11"/>
      <c r="R79" s="11"/>
      <c r="S79" s="11"/>
      <c r="T79" s="11"/>
      <c r="U79" s="11"/>
      <c r="V79" s="11"/>
      <c r="W79" s="12"/>
      <c r="X79" s="12"/>
      <c r="Y79" s="12"/>
      <c r="Z79" s="12"/>
      <c r="AA79" s="12"/>
      <c r="AB79" s="12"/>
      <c r="AC79" s="12"/>
    </row>
    <row r="80" spans="1:29" ht="24.95" customHeight="1">
      <c r="A80" s="29"/>
      <c r="B80" s="6">
        <v>76</v>
      </c>
      <c r="C80" s="7" t="s">
        <v>140</v>
      </c>
      <c r="D80" s="8" t="s">
        <v>30</v>
      </c>
      <c r="E80" s="9">
        <v>76</v>
      </c>
      <c r="F80" s="9">
        <v>1068</v>
      </c>
      <c r="G80" s="9">
        <v>3849</v>
      </c>
      <c r="H80" s="9">
        <v>2303</v>
      </c>
      <c r="I80" s="10">
        <f t="shared" si="0"/>
        <v>59.833723044946737</v>
      </c>
      <c r="J80" s="9">
        <v>1546</v>
      </c>
      <c r="K80" s="10">
        <f t="shared" si="1"/>
        <v>40.166276955053263</v>
      </c>
      <c r="L80" s="9">
        <v>14945</v>
      </c>
      <c r="M80" s="9">
        <v>9.3342254929999999</v>
      </c>
      <c r="N80" s="10">
        <f t="shared" si="2"/>
        <v>6.2457179611910336E-2</v>
      </c>
      <c r="O80" s="9">
        <v>2.7972090000000001</v>
      </c>
      <c r="P80" s="11"/>
      <c r="Q80" s="11"/>
      <c r="R80" s="11"/>
      <c r="S80" s="11"/>
      <c r="T80" s="11"/>
      <c r="U80" s="11"/>
      <c r="V80" s="11"/>
      <c r="W80" s="12"/>
      <c r="X80" s="12"/>
      <c r="Y80" s="12"/>
      <c r="Z80" s="12"/>
      <c r="AA80" s="12"/>
      <c r="AB80" s="12"/>
      <c r="AC80" s="12"/>
    </row>
    <row r="81" spans="1:29" ht="29.25" customHeight="1">
      <c r="A81" s="21"/>
      <c r="B81" s="12"/>
      <c r="C81" s="22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</row>
    <row r="82" spans="1:29" ht="47.25" customHeight="1">
      <c r="A82" s="21"/>
      <c r="B82" s="12"/>
      <c r="C82" s="30" t="s">
        <v>141</v>
      </c>
      <c r="D82" s="33" t="s">
        <v>142</v>
      </c>
      <c r="E82" s="34"/>
      <c r="F82" s="34"/>
      <c r="G82" s="34"/>
      <c r="H82" s="34"/>
      <c r="I82" s="34"/>
      <c r="J82" s="34"/>
      <c r="K82" s="34"/>
      <c r="L82" s="34"/>
      <c r="M82" s="35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spans="1:29" ht="36.75" customHeight="1">
      <c r="A83" s="21"/>
      <c r="B83" s="12"/>
      <c r="C83" s="31"/>
      <c r="D83" s="36" t="s">
        <v>143</v>
      </c>
      <c r="E83" s="37"/>
      <c r="F83" s="37"/>
      <c r="G83" s="37"/>
      <c r="H83" s="37"/>
      <c r="I83" s="37"/>
      <c r="J83" s="37"/>
      <c r="K83" s="37"/>
      <c r="L83" s="37"/>
      <c r="M83" s="37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spans="1:29" ht="54.75" customHeight="1">
      <c r="A84" s="21"/>
      <c r="B84" s="12"/>
      <c r="C84" s="32"/>
      <c r="D84" s="38" t="s">
        <v>144</v>
      </c>
      <c r="E84" s="39"/>
      <c r="F84" s="39"/>
      <c r="G84" s="39"/>
      <c r="H84" s="39"/>
      <c r="I84" s="39"/>
      <c r="J84" s="39"/>
      <c r="K84" s="39"/>
      <c r="L84" s="39"/>
      <c r="M84" s="40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spans="1:29" ht="62.25" customHeight="1">
      <c r="A85" s="21"/>
      <c r="B85" s="12"/>
      <c r="C85" s="32"/>
      <c r="D85" s="41" t="s">
        <v>145</v>
      </c>
      <c r="E85" s="42"/>
      <c r="F85" s="42"/>
      <c r="G85" s="42"/>
      <c r="H85" s="42"/>
      <c r="I85" s="42"/>
      <c r="J85" s="42"/>
      <c r="K85" s="42"/>
      <c r="L85" s="42"/>
      <c r="M85" s="43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spans="1:29" ht="50.25" customHeight="1">
      <c r="A86" s="21"/>
      <c r="B86" s="12"/>
      <c r="C86" s="29"/>
      <c r="D86" s="44" t="s">
        <v>146</v>
      </c>
      <c r="E86" s="42"/>
      <c r="F86" s="42"/>
      <c r="G86" s="42"/>
      <c r="H86" s="42"/>
      <c r="I86" s="42"/>
      <c r="J86" s="42"/>
      <c r="K86" s="42"/>
      <c r="L86" s="42"/>
      <c r="M86" s="43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spans="1:29" ht="15.75" customHeight="1">
      <c r="A87" s="21"/>
      <c r="B87" s="12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</row>
    <row r="88" spans="1:29" ht="15.75" customHeight="1">
      <c r="A88" s="21"/>
      <c r="B88" s="12"/>
      <c r="C88" s="25" t="s">
        <v>147</v>
      </c>
      <c r="D88" s="27" t="s">
        <v>148</v>
      </c>
      <c r="E88" s="27"/>
      <c r="F88" s="27"/>
      <c r="G88" s="24"/>
      <c r="H88" s="24"/>
      <c r="I88" s="24"/>
      <c r="J88" s="24"/>
      <c r="K88" s="24"/>
      <c r="L88" s="24"/>
      <c r="M88" s="24"/>
      <c r="N88" s="24"/>
      <c r="O88" s="24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</row>
    <row r="89" spans="1:29" ht="15.75" customHeight="1">
      <c r="A89" s="21"/>
      <c r="B89" s="12"/>
      <c r="C89" s="26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</row>
    <row r="90" spans="1:29" ht="15.75" customHeight="1">
      <c r="A90" s="21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</row>
    <row r="91" spans="1:29" ht="15.75" customHeight="1">
      <c r="A91" s="21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</row>
    <row r="92" spans="1:29" ht="15.75" customHeight="1">
      <c r="A92" s="21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</row>
    <row r="93" spans="1:29" ht="15.75" customHeight="1">
      <c r="A93" s="21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</row>
    <row r="94" spans="1:29" ht="15.75" customHeight="1">
      <c r="A94" s="21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</row>
    <row r="95" spans="1:29" ht="15.75" customHeight="1">
      <c r="A95" s="21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</row>
    <row r="96" spans="1:29" ht="15.75" customHeight="1">
      <c r="A96" s="21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</row>
    <row r="97" spans="1:29" ht="15.75" customHeight="1">
      <c r="A97" s="21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</row>
    <row r="98" spans="1:29" ht="15.75" customHeight="1">
      <c r="A98" s="21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</row>
    <row r="99" spans="1:29" ht="15.75" customHeight="1">
      <c r="A99" s="21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</row>
    <row r="100" spans="1:29" ht="15.75" customHeight="1">
      <c r="A100" s="21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</row>
    <row r="101" spans="1:29" ht="15.75" customHeight="1">
      <c r="A101" s="21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</row>
    <row r="102" spans="1:29" ht="15.75" customHeight="1">
      <c r="A102" s="21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</row>
    <row r="103" spans="1:29" ht="15.75" customHeight="1">
      <c r="A103" s="21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</row>
    <row r="104" spans="1:29" ht="15.75" customHeight="1">
      <c r="A104" s="21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</row>
    <row r="105" spans="1:29" ht="15.75" customHeight="1">
      <c r="A105" s="21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</row>
    <row r="106" spans="1:29" ht="15.75" customHeight="1">
      <c r="A106" s="21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</row>
    <row r="107" spans="1:29" ht="15.75" customHeight="1">
      <c r="A107" s="21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</row>
    <row r="108" spans="1:29" ht="15.75" customHeight="1">
      <c r="A108" s="21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</row>
    <row r="109" spans="1:29" ht="15.75" customHeight="1">
      <c r="A109" s="21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</row>
    <row r="110" spans="1:29" ht="15.75" customHeight="1">
      <c r="A110" s="21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</row>
    <row r="111" spans="1:29" ht="15.75" customHeight="1">
      <c r="A111" s="21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</row>
    <row r="112" spans="1:29" ht="15.75" customHeight="1">
      <c r="A112" s="21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</row>
    <row r="113" spans="1:22" ht="15.75" customHeight="1">
      <c r="A113" s="21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</row>
    <row r="114" spans="1:22" ht="15.75" customHeight="1">
      <c r="A114" s="21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</row>
    <row r="115" spans="1:22" ht="15.75" customHeight="1">
      <c r="A115" s="21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</row>
    <row r="116" spans="1:22" ht="15.75" customHeight="1">
      <c r="A116" s="21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</row>
    <row r="117" spans="1:22" ht="15.75" customHeight="1">
      <c r="A117" s="21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</row>
    <row r="118" spans="1:22" ht="15.75" customHeight="1">
      <c r="A118" s="21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</row>
    <row r="119" spans="1:22" ht="15.75" customHeight="1">
      <c r="A119" s="21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</row>
    <row r="120" spans="1:22" ht="15.75" customHeight="1">
      <c r="A120" s="21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</row>
    <row r="121" spans="1:22" ht="15.75" customHeight="1">
      <c r="A121" s="21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</row>
    <row r="122" spans="1:22" ht="15.75" customHeight="1">
      <c r="A122" s="21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</row>
    <row r="123" spans="1:22" ht="15.75" customHeight="1">
      <c r="A123" s="21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</row>
    <row r="124" spans="1:22" ht="15.75" customHeight="1">
      <c r="A124" s="21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</row>
    <row r="125" spans="1:22" ht="15.75" customHeight="1">
      <c r="A125" s="21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</row>
    <row r="126" spans="1:22" ht="15.75" customHeight="1">
      <c r="A126" s="21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</row>
    <row r="127" spans="1:22" ht="15.75" customHeight="1">
      <c r="A127" s="21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</row>
    <row r="128" spans="1:22" ht="15.75" customHeight="1">
      <c r="A128" s="21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</row>
    <row r="129" spans="1:22" ht="15.75" customHeight="1">
      <c r="A129" s="21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</row>
    <row r="130" spans="1:22" ht="15.75" customHeight="1">
      <c r="A130" s="21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</row>
    <row r="131" spans="1:22" ht="15.75" customHeight="1">
      <c r="A131" s="21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</row>
    <row r="132" spans="1:22" ht="15.75" customHeight="1">
      <c r="A132" s="21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</row>
    <row r="133" spans="1:22" ht="15.75" customHeight="1">
      <c r="A133" s="21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</row>
    <row r="134" spans="1:22" ht="15.75" customHeight="1">
      <c r="A134" s="21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</row>
    <row r="135" spans="1:22" ht="15.75" customHeight="1">
      <c r="A135" s="21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</row>
    <row r="136" spans="1:22" ht="15.75" customHeight="1">
      <c r="A136" s="21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</row>
    <row r="137" spans="1:22" ht="15.75" customHeight="1">
      <c r="A137" s="21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</row>
    <row r="138" spans="1:22" ht="15.75" customHeight="1">
      <c r="A138" s="21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</row>
    <row r="139" spans="1:22" ht="15.75" customHeight="1">
      <c r="A139" s="21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</row>
    <row r="140" spans="1:22" ht="15.75" customHeight="1">
      <c r="A140" s="21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</row>
    <row r="141" spans="1:22" ht="15.75" customHeight="1">
      <c r="A141" s="21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</row>
    <row r="142" spans="1:22" ht="15.75" customHeight="1">
      <c r="A142" s="21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</row>
    <row r="143" spans="1:22" ht="15.75" customHeight="1">
      <c r="A143" s="21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</row>
    <row r="144" spans="1:22" ht="15.75" customHeight="1">
      <c r="A144" s="21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</row>
    <row r="145" spans="1:22" ht="15.75" customHeight="1">
      <c r="A145" s="21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</row>
    <row r="146" spans="1:22" ht="15.75" customHeight="1">
      <c r="A146" s="21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</row>
    <row r="147" spans="1:22" ht="15.75" customHeight="1">
      <c r="A147" s="21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</row>
    <row r="148" spans="1:22" ht="15.75" customHeight="1">
      <c r="A148" s="21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</row>
    <row r="149" spans="1:22" ht="15.75" customHeight="1">
      <c r="A149" s="21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</row>
    <row r="150" spans="1:22" ht="15.75" customHeight="1">
      <c r="A150" s="21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</row>
    <row r="151" spans="1:22" ht="15.75" customHeight="1">
      <c r="A151" s="21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</row>
    <row r="152" spans="1:22" ht="15.75" customHeight="1">
      <c r="A152" s="21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</row>
    <row r="153" spans="1:22" ht="15.75" customHeight="1">
      <c r="A153" s="21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</row>
    <row r="154" spans="1:22" ht="15.75" customHeight="1">
      <c r="A154" s="21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</row>
    <row r="155" spans="1:22" ht="15.75" customHeight="1">
      <c r="A155" s="21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</row>
    <row r="156" spans="1:22" ht="15.75" customHeight="1">
      <c r="A156" s="21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</row>
    <row r="157" spans="1:22" ht="15.75" customHeight="1">
      <c r="A157" s="21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</row>
    <row r="158" spans="1:22" ht="15.75" customHeight="1">
      <c r="A158" s="21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</row>
    <row r="159" spans="1:22" ht="15.75" customHeight="1">
      <c r="A159" s="21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</row>
    <row r="160" spans="1:22" ht="15.75" customHeight="1">
      <c r="A160" s="21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</row>
    <row r="161" spans="1:22" ht="15.75" customHeight="1">
      <c r="A161" s="21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</row>
    <row r="162" spans="1:22" ht="15.75" customHeight="1">
      <c r="A162" s="21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</row>
    <row r="163" spans="1:22" ht="15.75" customHeight="1">
      <c r="A163" s="21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</row>
    <row r="164" spans="1:22" ht="15.75" customHeight="1">
      <c r="A164" s="21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</row>
    <row r="165" spans="1:22" ht="15.75" customHeight="1">
      <c r="A165" s="21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</row>
    <row r="166" spans="1:22" ht="15.75" customHeight="1">
      <c r="A166" s="21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</row>
    <row r="167" spans="1:22" ht="15.75" customHeight="1">
      <c r="A167" s="21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</row>
    <row r="168" spans="1:22" ht="15.75" customHeight="1">
      <c r="A168" s="21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</row>
    <row r="169" spans="1:22" ht="15.75" customHeight="1">
      <c r="A169" s="21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</row>
    <row r="170" spans="1:22" ht="15.75" customHeight="1">
      <c r="A170" s="21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</row>
    <row r="171" spans="1:22" ht="15.75" customHeight="1">
      <c r="A171" s="21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</row>
    <row r="172" spans="1:22" ht="15.75" customHeight="1">
      <c r="A172" s="21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</row>
    <row r="173" spans="1:22" ht="15.75" customHeight="1">
      <c r="A173" s="21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</row>
    <row r="174" spans="1:22" ht="15.75" customHeight="1">
      <c r="A174" s="21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</row>
    <row r="175" spans="1:22" ht="15.75" customHeight="1">
      <c r="A175" s="21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</row>
    <row r="176" spans="1:22" ht="15.75" customHeight="1">
      <c r="A176" s="21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</row>
    <row r="177" spans="1:22" ht="15.75" customHeight="1">
      <c r="A177" s="21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</row>
    <row r="178" spans="1:22" ht="15.75" customHeight="1">
      <c r="A178" s="21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</row>
    <row r="179" spans="1:22" ht="15.75" customHeight="1">
      <c r="A179" s="21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</row>
    <row r="180" spans="1:22" ht="15.75" customHeight="1">
      <c r="A180" s="21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</row>
    <row r="181" spans="1:22" ht="15.75" customHeight="1">
      <c r="A181" s="21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</row>
    <row r="182" spans="1:22" ht="15.75" customHeight="1">
      <c r="A182" s="21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</row>
    <row r="183" spans="1:22" ht="15.75" customHeight="1">
      <c r="A183" s="21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</row>
    <row r="184" spans="1:22" ht="15.75" customHeight="1">
      <c r="A184" s="21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</row>
    <row r="185" spans="1:22" ht="15.75" customHeight="1">
      <c r="A185" s="21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</row>
    <row r="186" spans="1:22" ht="15.75" customHeight="1">
      <c r="A186" s="21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</row>
    <row r="187" spans="1:22" ht="15.75" customHeight="1">
      <c r="A187" s="21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</row>
    <row r="188" spans="1:22" ht="15.75" customHeight="1">
      <c r="A188" s="21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</row>
    <row r="189" spans="1:22" ht="15.75" customHeight="1">
      <c r="A189" s="21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</row>
    <row r="190" spans="1:22" ht="15.75" customHeight="1">
      <c r="A190" s="21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</row>
    <row r="191" spans="1:22" ht="15.75" customHeight="1">
      <c r="A191" s="21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</row>
    <row r="192" spans="1:22" ht="15.75" customHeight="1">
      <c r="A192" s="21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</row>
    <row r="193" spans="1:22" ht="15.75" customHeight="1">
      <c r="A193" s="21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</row>
    <row r="194" spans="1:22" ht="15.75" customHeight="1">
      <c r="A194" s="21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</row>
    <row r="195" spans="1:22" ht="15.75" customHeight="1">
      <c r="A195" s="21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</row>
    <row r="196" spans="1:22" ht="15.75" customHeight="1">
      <c r="A196" s="21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</row>
    <row r="197" spans="1:22" ht="15.75" customHeight="1">
      <c r="A197" s="21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</row>
    <row r="198" spans="1:22" ht="15.75" customHeight="1">
      <c r="A198" s="21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</row>
    <row r="199" spans="1:22" ht="15.75" customHeight="1">
      <c r="A199" s="21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</row>
    <row r="200" spans="1:22" ht="15.75" customHeight="1">
      <c r="A200" s="21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</row>
    <row r="201" spans="1:22" ht="15.75" customHeight="1">
      <c r="A201" s="21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</row>
    <row r="202" spans="1:22" ht="15.75" customHeight="1">
      <c r="A202" s="21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</row>
    <row r="203" spans="1:22" ht="15.75" customHeight="1">
      <c r="A203" s="21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</row>
    <row r="204" spans="1:22" ht="15.75" customHeight="1">
      <c r="A204" s="21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</row>
    <row r="205" spans="1:22" ht="15.75" customHeight="1">
      <c r="A205" s="21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</row>
    <row r="206" spans="1:22" ht="15.75" customHeight="1">
      <c r="A206" s="21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</row>
    <row r="207" spans="1:22" ht="15.75" customHeight="1">
      <c r="A207" s="21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</row>
    <row r="208" spans="1:22" ht="15.75" customHeight="1">
      <c r="A208" s="21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</row>
    <row r="209" spans="1:22" ht="15.75" customHeight="1">
      <c r="A209" s="21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</row>
    <row r="210" spans="1:22" ht="15.75" customHeight="1">
      <c r="A210" s="21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</row>
    <row r="211" spans="1:22" ht="15.75" customHeight="1">
      <c r="A211" s="21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</row>
    <row r="212" spans="1:22" ht="15.75" customHeight="1">
      <c r="A212" s="21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</row>
    <row r="213" spans="1:22" ht="15.75" customHeight="1">
      <c r="A213" s="21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</row>
    <row r="214" spans="1:22" ht="15.75" customHeight="1">
      <c r="A214" s="21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</row>
    <row r="215" spans="1:22" ht="15.75" customHeight="1">
      <c r="A215" s="21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</row>
    <row r="216" spans="1:22" ht="15.75" customHeight="1">
      <c r="A216" s="21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</row>
    <row r="217" spans="1:22" ht="15.75" customHeight="1">
      <c r="A217" s="21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</row>
    <row r="218" spans="1:22" ht="15.75" customHeight="1">
      <c r="A218" s="21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</row>
    <row r="219" spans="1:22" ht="15.75" customHeight="1">
      <c r="A219" s="21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</row>
    <row r="220" spans="1:22" ht="15.75" customHeight="1">
      <c r="A220" s="21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</row>
    <row r="221" spans="1:22" ht="15.75" customHeight="1">
      <c r="A221" s="21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</row>
    <row r="222" spans="1:22" ht="15.75" customHeight="1">
      <c r="A222" s="21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</row>
    <row r="223" spans="1:22" ht="15.75" customHeight="1">
      <c r="A223" s="21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</row>
    <row r="224" spans="1:22" ht="15.75" customHeight="1">
      <c r="A224" s="21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</row>
    <row r="225" spans="1:22" ht="15.75" customHeight="1">
      <c r="A225" s="21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</row>
    <row r="226" spans="1:22" ht="15.75" customHeight="1">
      <c r="A226" s="21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</row>
    <row r="227" spans="1:22" ht="15.75" customHeight="1">
      <c r="A227" s="21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</row>
    <row r="228" spans="1:22" ht="15.75" customHeight="1">
      <c r="A228" s="21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</row>
    <row r="229" spans="1:22" ht="15.75" customHeight="1">
      <c r="A229" s="21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</row>
    <row r="230" spans="1:22" ht="15.75" customHeight="1">
      <c r="A230" s="21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</row>
    <row r="231" spans="1:22" ht="15.75" customHeight="1">
      <c r="A231" s="21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</row>
    <row r="232" spans="1:22" ht="15.75" customHeight="1">
      <c r="A232" s="21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</row>
    <row r="233" spans="1:22" ht="15.75" customHeight="1">
      <c r="A233" s="21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</row>
    <row r="234" spans="1:22" ht="15.75" customHeight="1">
      <c r="A234" s="21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</row>
    <row r="235" spans="1:22" ht="15.75" customHeight="1">
      <c r="A235" s="21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</row>
    <row r="236" spans="1:22" ht="15.75" customHeight="1">
      <c r="A236" s="21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</row>
    <row r="237" spans="1:22" ht="15.75" customHeight="1">
      <c r="A237" s="21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</row>
    <row r="238" spans="1:22" ht="15.75" customHeight="1">
      <c r="A238" s="21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</row>
    <row r="239" spans="1:22" ht="15.75" customHeight="1">
      <c r="A239" s="21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</row>
    <row r="240" spans="1:22" ht="15.75" customHeight="1">
      <c r="A240" s="21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</row>
    <row r="241" spans="1:22" ht="15.75" customHeight="1">
      <c r="A241" s="21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</row>
    <row r="242" spans="1:22" ht="15.75" customHeight="1">
      <c r="A242" s="21"/>
    </row>
    <row r="243" spans="1:22" ht="15.75" customHeight="1">
      <c r="A243" s="21"/>
    </row>
    <row r="244" spans="1:22" ht="15.75" customHeight="1">
      <c r="A244" s="21"/>
    </row>
    <row r="245" spans="1:22" ht="15.75" customHeight="1">
      <c r="A245" s="21"/>
    </row>
    <row r="246" spans="1:22" ht="15.75" customHeight="1">
      <c r="A246" s="21"/>
    </row>
    <row r="247" spans="1:22" ht="15.75" customHeight="1">
      <c r="A247" s="21"/>
    </row>
    <row r="248" spans="1:22" ht="15.75" customHeight="1">
      <c r="A248" s="21"/>
    </row>
    <row r="249" spans="1:22" ht="15.75" customHeight="1">
      <c r="A249" s="21"/>
    </row>
    <row r="250" spans="1:22" ht="15.75" customHeight="1">
      <c r="A250" s="21"/>
    </row>
    <row r="251" spans="1:22" ht="15.75" customHeight="1">
      <c r="A251" s="21"/>
    </row>
    <row r="252" spans="1:22" ht="15.75" customHeight="1">
      <c r="A252" s="21"/>
    </row>
    <row r="253" spans="1:22" ht="15.75" customHeight="1">
      <c r="A253" s="21"/>
    </row>
    <row r="254" spans="1:22" ht="15.75" customHeight="1">
      <c r="A254" s="21"/>
    </row>
    <row r="255" spans="1:22" ht="15.75" customHeight="1">
      <c r="A255" s="21"/>
    </row>
    <row r="256" spans="1:22" ht="15.75" customHeight="1">
      <c r="A256" s="21"/>
    </row>
    <row r="257" spans="1:1" ht="15.75" customHeight="1">
      <c r="A257" s="21"/>
    </row>
    <row r="258" spans="1:1" ht="15.75" customHeight="1">
      <c r="A258" s="21"/>
    </row>
    <row r="259" spans="1:1" ht="15.75" customHeight="1">
      <c r="A259" s="21"/>
    </row>
    <row r="260" spans="1:1" ht="15.75" customHeight="1">
      <c r="A260" s="21"/>
    </row>
    <row r="261" spans="1:1" ht="15.75" customHeight="1">
      <c r="A261" s="21"/>
    </row>
    <row r="262" spans="1:1" ht="15.75" customHeight="1">
      <c r="A262" s="21"/>
    </row>
    <row r="263" spans="1:1" ht="15.75" customHeight="1">
      <c r="A263" s="21"/>
    </row>
    <row r="264" spans="1:1" ht="15.75" customHeight="1">
      <c r="A264" s="21"/>
    </row>
    <row r="265" spans="1:1" ht="15.75" customHeight="1">
      <c r="A265" s="21"/>
    </row>
    <row r="266" spans="1:1" ht="15.75" customHeight="1">
      <c r="A266" s="21"/>
    </row>
    <row r="267" spans="1:1" ht="15.75" customHeight="1">
      <c r="A267" s="21"/>
    </row>
    <row r="268" spans="1:1" ht="15.75" customHeight="1">
      <c r="A268" s="21"/>
    </row>
    <row r="269" spans="1:1" ht="15.75" customHeight="1">
      <c r="A269" s="21"/>
    </row>
    <row r="270" spans="1:1" ht="15.75" customHeight="1">
      <c r="A270" s="21"/>
    </row>
    <row r="271" spans="1:1" ht="15.75" customHeight="1">
      <c r="A271" s="21"/>
    </row>
    <row r="272" spans="1:1" ht="15.75" customHeight="1">
      <c r="A272" s="21"/>
    </row>
    <row r="273" spans="1:1" ht="15.75" customHeight="1">
      <c r="A273" s="21"/>
    </row>
    <row r="274" spans="1:1" ht="15.75" customHeight="1">
      <c r="A274" s="21"/>
    </row>
    <row r="275" spans="1:1" ht="15.75" customHeight="1">
      <c r="A275" s="21"/>
    </row>
    <row r="276" spans="1:1" ht="15.75" customHeight="1">
      <c r="A276" s="21"/>
    </row>
    <row r="277" spans="1:1" ht="15.75" customHeight="1">
      <c r="A277" s="21"/>
    </row>
    <row r="278" spans="1:1" ht="15.75" customHeight="1">
      <c r="A278" s="21"/>
    </row>
    <row r="279" spans="1:1" ht="15.75" customHeight="1"/>
    <row r="280" spans="1:1" ht="15.75" customHeight="1"/>
    <row r="281" spans="1:1" ht="15.75" customHeight="1"/>
    <row r="282" spans="1:1" ht="15.75" customHeight="1"/>
    <row r="283" spans="1:1" ht="15.75" customHeight="1"/>
    <row r="284" spans="1:1" ht="15.75" customHeight="1"/>
    <row r="285" spans="1:1" ht="15.75" customHeight="1"/>
    <row r="286" spans="1:1" ht="15.75" customHeight="1"/>
    <row r="287" spans="1:1" ht="15.75" customHeight="1"/>
    <row r="288" spans="1:1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40">
    <mergeCell ref="A1:O1"/>
    <mergeCell ref="W1:AC1"/>
    <mergeCell ref="D2:O2"/>
    <mergeCell ref="P2:W2"/>
    <mergeCell ref="A3:A4"/>
    <mergeCell ref="B3:B4"/>
    <mergeCell ref="C3:C4"/>
    <mergeCell ref="D3:D4"/>
    <mergeCell ref="E3:E4"/>
    <mergeCell ref="F3:F4"/>
    <mergeCell ref="G3:K3"/>
    <mergeCell ref="L3:N3"/>
    <mergeCell ref="O3:O4"/>
    <mergeCell ref="A5:A10"/>
    <mergeCell ref="Q5:Q12"/>
    <mergeCell ref="A11:A15"/>
    <mergeCell ref="Q13:Q19"/>
    <mergeCell ref="A16:A24"/>
    <mergeCell ref="A76:A78"/>
    <mergeCell ref="Q20:Q23"/>
    <mergeCell ref="A25:A34"/>
    <mergeCell ref="Q25:S27"/>
    <mergeCell ref="A35:A41"/>
    <mergeCell ref="A42:A48"/>
    <mergeCell ref="A49:A51"/>
    <mergeCell ref="S5:S23"/>
    <mergeCell ref="R10:R11"/>
    <mergeCell ref="A54:A61"/>
    <mergeCell ref="A62:A67"/>
    <mergeCell ref="A69:A70"/>
    <mergeCell ref="A71:A73"/>
    <mergeCell ref="A74:A75"/>
    <mergeCell ref="D88:F88"/>
    <mergeCell ref="A79:A80"/>
    <mergeCell ref="C82:C86"/>
    <mergeCell ref="D82:M82"/>
    <mergeCell ref="D83:M83"/>
    <mergeCell ref="D84:M84"/>
    <mergeCell ref="D85:M85"/>
    <mergeCell ref="D86:M86"/>
  </mergeCells>
  <hyperlinks>
    <hyperlink ref="D82" r:id="rId1" display="1. Consejo Nacional de Población. (s.f.). Grado del Índice de Intensidad Migratoria. [Conjunto de datos]. Indicadores del Índice de Intensidad Migratoria México-Estados Unidos a nivel municipal 2020. https://datos.gob.mx/busca/dataset/indices-de-intensida" xr:uid="{FF162E5F-4382-4E63-909D-18156B5F97B9}"/>
    <hyperlink ref="D83" r:id="rId2" xr:uid="{5E22E01D-0764-4E85-A05D-115324169709}"/>
    <hyperlink ref="D84" r:id="rId3" location="Tabulados" xr:uid="{62F0A11A-63B8-4F07-9BD5-71C37B33AE70}"/>
    <hyperlink ref="D85" r:id="rId4" xr:uid="{2C4233C6-9299-405F-83E7-01864745EBC4}"/>
    <hyperlink ref="D82:M82" r:id="rId5" display="1. Consejo Nacional de Población. (s.f.). Grado del Índice de Intensidad Migratoria. [Conjunto de datos]. Indicadores del Índice de Intensidad Migratoria México-Estados Unidos a nivel municipal 2020.  https://www.gob.mx/conapo/documentos/indices-de-intensidad-migratoria-mexico-estados-unidos-2020" xr:uid="{C0D423FD-D357-4BA3-9E22-058959F26D50}"/>
    <hyperlink ref="Q25:S27" r:id="rId6" location=":~:text=Somos%20el%20Instituto%20Poblano%20de,el%20extranjero%2C%20aquellos%20que%20retornan" display="Instituto Poblano de Asistencia al Migrante. (s.f). Requisitos para trámites y servicios. https://ipam.puebla.gob.mx/#:~:text=Somos%20el%20Instituto%20Poblano%20de,el%20extranjero%2C%20aquellos%20que%20retornan" xr:uid="{CC26C915-228E-4AB2-BBA0-D0C733C34211}"/>
  </hyperlinks>
  <pageMargins left="0.7" right="0.7" top="0.75" bottom="0.75" header="0" footer="0"/>
  <pageSetup orientation="landscape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MIGRACIÓN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 VASQUEZ MORALES</dc:creator>
  <cp:lastModifiedBy>IPPI 11</cp:lastModifiedBy>
  <dcterms:created xsi:type="dcterms:W3CDTF">2024-07-17T17:20:16Z</dcterms:created>
  <dcterms:modified xsi:type="dcterms:W3CDTF">2024-08-26T19:16:15Z</dcterms:modified>
</cp:coreProperties>
</file>