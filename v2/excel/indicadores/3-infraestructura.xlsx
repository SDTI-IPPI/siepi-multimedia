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C4ED32EA-E8B9-4515-BD2B-2B9A6EFD9966}" xr6:coauthVersionLast="47" xr6:coauthVersionMax="47" xr10:uidLastSave="{00000000-0000-0000-0000-000000000000}"/>
  <bookViews>
    <workbookView xWindow="28680" yWindow="-120" windowWidth="29040" windowHeight="16440" xr2:uid="{44C6198C-E219-4EA9-9F0E-521842F83E8F}"/>
  </bookViews>
  <sheets>
    <sheet name="INFRAESTRUCTU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</calcChain>
</file>

<file path=xl/sharedStrings.xml><?xml version="1.0" encoding="utf-8"?>
<sst xmlns="http://schemas.openxmlformats.org/spreadsheetml/2006/main" count="112" uniqueCount="112">
  <si>
    <t>INDICADORES DE MUNICIPIOS INDÍGENAS DEL ESTADO DE PUEBLA</t>
  </si>
  <si>
    <t>INFRAESTRUCTURA</t>
  </si>
  <si>
    <t>REGIÓN</t>
  </si>
  <si>
    <t>NO.</t>
  </si>
  <si>
    <t>MUNICIPIO</t>
  </si>
  <si>
    <t>Total de viviendas₁</t>
  </si>
  <si>
    <t>Indicadores de cobertura de servicios básicos por municipio (agua, electricidad, drenaje)₁</t>
  </si>
  <si>
    <t>Carencia por servicios básicos de la vivienda₃</t>
  </si>
  <si>
    <t>Carencia por calidad y espacios de la vivienda (Personas 2020)₂</t>
  </si>
  <si>
    <t>Agua por No. de vivienda</t>
  </si>
  <si>
    <t>Electricidad por No. Vivienda</t>
  </si>
  <si>
    <t>Drenaje por No. Vivienda</t>
  </si>
  <si>
    <t>No. De viviendas sin agua</t>
  </si>
  <si>
    <t>No. De viviendas sin electricidad</t>
  </si>
  <si>
    <t>No. De vivienda sin drenaje</t>
  </si>
  <si>
    <t>REGIÓN 1. XICOTEPEC</t>
  </si>
  <si>
    <t>Naupan</t>
  </si>
  <si>
    <t>Zihuateutla</t>
  </si>
  <si>
    <t>Pantepec</t>
  </si>
  <si>
    <t>Tlacuilotepec</t>
  </si>
  <si>
    <t>Pahuatlán</t>
  </si>
  <si>
    <t>Xicotepec</t>
  </si>
  <si>
    <t>REGIÓN 2. HUAUCHINANGO</t>
  </si>
  <si>
    <t>Tlapacoya</t>
  </si>
  <si>
    <t>Chiconcuautla</t>
  </si>
  <si>
    <t>Tlaola</t>
  </si>
  <si>
    <t>Jopala</t>
  </si>
  <si>
    <t>Huauchinango</t>
  </si>
  <si>
    <t>REGIÓN 3. ZACATLÁN</t>
  </si>
  <si>
    <t>Tepango de Rodríguez</t>
  </si>
  <si>
    <t>Hermenegildo Galeana</t>
  </si>
  <si>
    <t>Camocuautla</t>
  </si>
  <si>
    <t>Amixtlán</t>
  </si>
  <si>
    <t>San Felipe Tepatlán</t>
  </si>
  <si>
    <t>Coatepec</t>
  </si>
  <si>
    <t>Tepetzintla</t>
  </si>
  <si>
    <t>Ahuacatlán</t>
  </si>
  <si>
    <t>Zacatlán</t>
  </si>
  <si>
    <t>REGIÓN 4. HUEHUETLA</t>
  </si>
  <si>
    <t>Ixtepec</t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</si>
  <si>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</si>
  <si>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</si>
  <si>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</si>
  <si>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</si>
  <si>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</si>
  <si>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</si>
  <si>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</si>
  <si>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</si>
  <si>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</si>
  <si>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</si>
  <si>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</si>
  <si>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</si>
  <si>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</si>
  <si>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</si>
  <si>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</si>
  <si>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</si>
  <si>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</si>
  <si>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</si>
  <si>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</si>
  <si>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</si>
  <si>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Atempan</t>
  </si>
  <si>
    <t>Chignautla</t>
  </si>
  <si>
    <t>Teziutlán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</si>
  <si>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</si>
  <si>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</si>
  <si>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</si>
  <si>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</si>
  <si>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</si>
  <si>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</si>
  <si>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</si>
  <si>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</si>
  <si>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</si>
  <si>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</si>
  <si>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</si>
  <si>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</si>
  <si>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</si>
  <si>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</si>
  <si>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</si>
  <si>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</si>
  <si>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</si>
  <si>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</si>
  <si>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Santiago Miahuatlan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</si>
  <si>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</si>
  <si>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</si>
  <si>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</si>
  <si>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</si>
  <si>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</si>
  <si>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</si>
  <si>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</si>
  <si>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</si>
  <si>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</si>
  <si>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</si>
  <si>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</si>
  <si>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</si>
  <si>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</si>
  <si>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</si>
  <si>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</si>
  <si>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</si>
  <si>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</si>
  <si>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</si>
  <si>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</si>
  <si>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</si>
  <si>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</si>
  <si>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</si>
  <si>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</si>
  <si>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</si>
  <si>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</si>
  <si>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</si>
  <si>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>Fuente:</t>
  </si>
  <si>
    <r>
      <rPr>
        <sz val="10"/>
        <rFont val="Aptos Narrow"/>
        <family val="2"/>
        <scheme val="minor"/>
      </rPr>
      <t xml:space="preserve">1. Instituto Nacional de Estadistica y Geográfia. (s.f.).  Servicios básicos por municipio. [Conjunto de datos]. Espacios y datos de México. </t>
    </r>
    <r>
      <rPr>
        <u/>
        <sz val="10"/>
        <color theme="10"/>
        <rFont val="Aptos Narrow"/>
        <family val="2"/>
        <scheme val="minor"/>
      </rPr>
      <t>https://www.inegi.org.mx/app/indicadores/?t=56&amp;ag=21001#D56#D1003000011_56#D1003000001_56</t>
    </r>
  </si>
  <si>
    <r>
      <rPr>
        <sz val="10"/>
        <rFont val="Aptos Narrow"/>
        <family val="2"/>
        <scheme val="minor"/>
      </rPr>
      <t xml:space="preserve">2. Consejo Nacional de Evaluacion de la Politica de Desarrollo Social. (2022).  Carencia por calidad y espacios de la vivienda. [Conjunto de datos].  Medición de la pobreza. Pobreza a nivel municipio 2010-2020. </t>
    </r>
    <r>
      <rPr>
        <u/>
        <sz val="10"/>
        <color theme="10"/>
        <rFont val="Aptos Narrow"/>
        <family val="2"/>
        <scheme val="minor"/>
      </rPr>
      <t>https://www.coneval.org.mx/Medicion/Paginas/Pobreza-municipio-2010-2020.aspx</t>
    </r>
  </si>
  <si>
    <t xml:space="preserve">3. Estimaciones del Instituto Poblano de los Pueblos indígenas, Dirección de Patrimonio Cultural, Investigación y Educación para la Equidad. (2023). Con base en el Instituto Nacional de Estadística y Geografía, Censo de Población y Vivienda 2020.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</si>
</sst>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rgb="FF202122"/>
      <name val="Nunito"/>
    </font>
    <font>
      <b/>
      <sz val="8"/>
      <color rgb="FF202122"/>
      <name val="Nunito"/>
    </font>
    <font>
      <sz val="9"/>
      <color theme="1"/>
      <name val="Nunito"/>
    </font>
    <font>
      <sz val="10"/>
      <color rgb="FF000000"/>
      <name val="Arial"/>
      <family val="2"/>
    </font>
    <font>
      <b/>
      <sz val="9"/>
      <color theme="1"/>
      <name val="Nunito"/>
    </font>
    <font>
      <sz val="9"/>
      <color rgb="FF202122"/>
      <name val="Nunito"/>
    </font>
    <font>
      <u/>
      <sz val="9"/>
      <color rgb="FF1155CC"/>
      <name val="Nunito"/>
    </font>
    <font>
      <sz val="9"/>
      <color rgb="FF201F1E"/>
      <name val="Nunito"/>
    </font>
    <font>
      <sz val="9"/>
      <color rgb="FF222222"/>
      <name val="Nunito"/>
    </font>
    <font>
      <sz val="9"/>
      <color rgb="FF050505"/>
      <name val="Nunito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color rgb="FF000000"/>
      <name val="Nunito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/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7" fillId="4" borderId="6" xfId="0" applyFont="1" applyFill="1" applyBorder="1"/>
    <xf numFmtId="3" fontId="7" fillId="0" borderId="6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7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3" fontId="10" fillId="0" borderId="6" xfId="0" applyNumberFormat="1" applyFont="1" applyBorder="1" applyAlignment="1">
      <alignment horizontal="center" vertical="center" wrapText="1"/>
    </xf>
    <xf numFmtId="3" fontId="13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0" borderId="6" xfId="0" applyFont="1" applyBorder="1"/>
    <xf numFmtId="3" fontId="14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3" fontId="10" fillId="0" borderId="6" xfId="0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16" fillId="3" borderId="2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8" fillId="0" borderId="8" xfId="1" applyBorder="1" applyAlignment="1">
      <alignment vertical="center" wrapText="1"/>
    </xf>
    <xf numFmtId="0" fontId="18" fillId="0" borderId="8" xfId="1" applyBorder="1"/>
    <xf numFmtId="0" fontId="17" fillId="0" borderId="10" xfId="0" applyFont="1" applyBorder="1" applyAlignment="1">
      <alignment vertical="center" wrapText="1"/>
    </xf>
    <xf numFmtId="0" fontId="2" fillId="0" borderId="11" xfId="0" applyFont="1" applyBorder="1"/>
    <xf numFmtId="0" fontId="2" fillId="0" borderId="12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app/indicadores/?t=56&amp;ag=21001" TargetMode="External"/><Relationship Id="rId2" Type="http://schemas.openxmlformats.org/officeDocument/2006/relationships/hyperlink" Target="https://www.coneval.org.mx/Medicion/Documents/Pobreza_municipal/2020/Concentrado_indicadores_de_pobreza_2020.zip" TargetMode="External"/><Relationship Id="rId1" Type="http://schemas.openxmlformats.org/officeDocument/2006/relationships/hyperlink" Target="https://www.inegi.org.mx/app/mapa/espacioydatos/default.aspx" TargetMode="External"/><Relationship Id="rId4" Type="http://schemas.openxmlformats.org/officeDocument/2006/relationships/hyperlink" Target="https://www.coneval.org.mx/Medicion/Paginas/Pobreza-municipio-2010-2020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38D1-CA9F-4BFD-A6D8-EC03C18C2C38}">
  <sheetPr>
    <tabColor theme="7"/>
    <outlinePr summaryBelow="0" summaryRight="0"/>
  </sheetPr>
  <dimension ref="A1:AA1004"/>
  <sheetViews>
    <sheetView tabSelected="1" zoomScaleNormal="100" workbookViewId="0">
      <pane ySplit="4" topLeftCell="A5" activePane="bottomLeft" state="frozen"/>
      <selection pane="bottomLeft" activeCell="A5" sqref="A5:A10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.85546875" customWidth="1"/>
    <col min="4" max="5" width="16.7109375" customWidth="1"/>
    <col min="6" max="6" width="17.42578125" customWidth="1"/>
    <col min="7" max="7" width="16.7109375" customWidth="1"/>
    <col min="8" max="10" width="9.28515625" customWidth="1"/>
    <col min="11" max="11" width="15.42578125" customWidth="1"/>
    <col min="12" max="12" width="12.28515625" customWidth="1"/>
    <col min="13" max="13" width="10.140625" customWidth="1"/>
    <col min="14" max="19" width="17.85546875" customWidth="1"/>
  </cols>
  <sheetData>
    <row r="1" spans="1:27" ht="27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"/>
      <c r="M1" s="1"/>
      <c r="N1" s="1"/>
      <c r="O1" s="1"/>
      <c r="P1" s="1"/>
      <c r="Q1" s="1"/>
      <c r="R1" s="1"/>
      <c r="S1" s="1"/>
      <c r="T1" s="49"/>
      <c r="U1" s="48"/>
      <c r="V1" s="48"/>
      <c r="W1" s="48"/>
      <c r="X1" s="48"/>
      <c r="Y1" s="48"/>
      <c r="Z1" s="48"/>
      <c r="AA1" s="1"/>
    </row>
    <row r="2" spans="1:27" ht="15.75" customHeight="1">
      <c r="A2" s="2"/>
      <c r="B2" s="2"/>
      <c r="C2" s="2"/>
      <c r="D2" s="50" t="s">
        <v>1</v>
      </c>
      <c r="E2" s="51"/>
      <c r="F2" s="51"/>
      <c r="G2" s="51"/>
      <c r="H2" s="51"/>
      <c r="I2" s="51"/>
      <c r="J2" s="51"/>
      <c r="K2" s="51"/>
      <c r="L2" s="3"/>
      <c r="M2" s="3"/>
      <c r="N2" s="52"/>
      <c r="O2" s="51"/>
      <c r="P2" s="51"/>
      <c r="Q2" s="51"/>
      <c r="R2" s="51"/>
      <c r="S2" s="51"/>
      <c r="T2" s="48"/>
    </row>
    <row r="3" spans="1:27" ht="51.75" customHeight="1">
      <c r="A3" s="46" t="s">
        <v>2</v>
      </c>
      <c r="B3" s="46" t="s">
        <v>3</v>
      </c>
      <c r="C3" s="46" t="s">
        <v>4</v>
      </c>
      <c r="D3" s="46" t="s">
        <v>5</v>
      </c>
      <c r="E3" s="53" t="s">
        <v>6</v>
      </c>
      <c r="F3" s="54"/>
      <c r="G3" s="55"/>
      <c r="H3" s="53" t="s">
        <v>7</v>
      </c>
      <c r="I3" s="54"/>
      <c r="J3" s="55"/>
      <c r="K3" s="46" t="s">
        <v>8</v>
      </c>
      <c r="L3" s="4"/>
      <c r="M3" s="4"/>
      <c r="N3" s="4"/>
      <c r="O3" s="5"/>
      <c r="P3" s="5"/>
      <c r="Q3" s="5"/>
      <c r="R3" s="5"/>
      <c r="S3" s="5"/>
    </row>
    <row r="4" spans="1:27" ht="33.75" customHeight="1">
      <c r="A4" s="37"/>
      <c r="B4" s="37"/>
      <c r="C4" s="37"/>
      <c r="D4" s="37"/>
      <c r="E4" s="6" t="s">
        <v>9</v>
      </c>
      <c r="F4" s="6" t="s">
        <v>10</v>
      </c>
      <c r="G4" s="6" t="s">
        <v>11</v>
      </c>
      <c r="H4" s="7" t="s">
        <v>12</v>
      </c>
      <c r="I4" s="7" t="s">
        <v>13</v>
      </c>
      <c r="J4" s="7" t="s">
        <v>14</v>
      </c>
      <c r="K4" s="37"/>
      <c r="L4" s="8"/>
      <c r="M4" s="8"/>
      <c r="N4" s="8"/>
      <c r="O4" s="8"/>
      <c r="P4" s="8"/>
      <c r="Q4" s="8"/>
      <c r="R4" s="8"/>
      <c r="S4" s="8"/>
      <c r="T4" s="9"/>
      <c r="U4" s="9"/>
      <c r="V4" s="9"/>
      <c r="W4" s="9"/>
      <c r="X4" s="9"/>
      <c r="Y4" s="9"/>
      <c r="Z4" s="9"/>
      <c r="AA4" s="9"/>
    </row>
    <row r="5" spans="1:27" ht="24.95" customHeight="1">
      <c r="A5" s="36" t="s">
        <v>15</v>
      </c>
      <c r="B5" s="10">
        <v>1</v>
      </c>
      <c r="C5" s="11" t="s">
        <v>16</v>
      </c>
      <c r="D5" s="12">
        <v>2364</v>
      </c>
      <c r="E5" s="12">
        <v>2295</v>
      </c>
      <c r="F5" s="12">
        <v>2340</v>
      </c>
      <c r="G5" s="12">
        <v>2202</v>
      </c>
      <c r="H5" s="13">
        <f t="shared" ref="H5:H80" si="0">D5-E5</f>
        <v>69</v>
      </c>
      <c r="I5" s="13">
        <f t="shared" ref="I5:I80" si="1">D5-F5</f>
        <v>24</v>
      </c>
      <c r="J5" s="13">
        <f t="shared" ref="J5:J80" si="2">D5-G5</f>
        <v>162</v>
      </c>
      <c r="K5" s="14">
        <v>2702</v>
      </c>
      <c r="L5" s="8"/>
      <c r="M5" s="8"/>
      <c r="N5" s="8"/>
      <c r="O5" s="8"/>
      <c r="P5" s="8"/>
      <c r="Q5" s="8"/>
      <c r="R5" s="8"/>
      <c r="S5" s="8"/>
      <c r="T5" s="15"/>
      <c r="U5" s="15"/>
      <c r="V5" s="15"/>
      <c r="W5" s="15"/>
      <c r="X5" s="15"/>
      <c r="Y5" s="15"/>
      <c r="Z5" s="15"/>
      <c r="AA5" s="15"/>
    </row>
    <row r="6" spans="1:27" ht="24.95" customHeight="1">
      <c r="A6" s="38"/>
      <c r="B6" s="10">
        <v>2</v>
      </c>
      <c r="C6" s="16" t="s">
        <v>17</v>
      </c>
      <c r="D6" s="12">
        <v>3174</v>
      </c>
      <c r="E6" s="12">
        <v>2932</v>
      </c>
      <c r="F6" s="12">
        <v>3084</v>
      </c>
      <c r="G6" s="12">
        <v>2742</v>
      </c>
      <c r="H6" s="13">
        <f t="shared" si="0"/>
        <v>242</v>
      </c>
      <c r="I6" s="13">
        <f t="shared" si="1"/>
        <v>90</v>
      </c>
      <c r="J6" s="13">
        <f t="shared" si="2"/>
        <v>432</v>
      </c>
      <c r="K6" s="14">
        <v>2263</v>
      </c>
      <c r="L6" s="8"/>
      <c r="M6" s="8"/>
      <c r="N6" s="8"/>
      <c r="O6" s="8"/>
      <c r="P6" s="8"/>
      <c r="Q6" s="8"/>
      <c r="R6" s="8"/>
      <c r="S6" s="8"/>
      <c r="T6" s="8"/>
      <c r="U6" s="15"/>
      <c r="V6" s="15"/>
      <c r="W6" s="15"/>
      <c r="X6" s="15"/>
      <c r="Y6" s="15"/>
      <c r="Z6" s="15"/>
      <c r="AA6" s="15"/>
    </row>
    <row r="7" spans="1:27" ht="24.95" customHeight="1">
      <c r="A7" s="38"/>
      <c r="B7" s="10">
        <v>3</v>
      </c>
      <c r="C7" s="16" t="s">
        <v>18</v>
      </c>
      <c r="D7" s="12">
        <v>2936</v>
      </c>
      <c r="E7" s="12">
        <v>2894</v>
      </c>
      <c r="F7" s="12">
        <v>2903</v>
      </c>
      <c r="G7" s="12">
        <v>2823</v>
      </c>
      <c r="H7" s="13">
        <f t="shared" si="0"/>
        <v>42</v>
      </c>
      <c r="I7" s="13">
        <f t="shared" si="1"/>
        <v>33</v>
      </c>
      <c r="J7" s="13">
        <f t="shared" si="2"/>
        <v>113</v>
      </c>
      <c r="K7" s="17">
        <v>2905</v>
      </c>
      <c r="L7" s="8"/>
      <c r="M7" s="8"/>
      <c r="N7" s="8"/>
      <c r="O7" s="8"/>
      <c r="P7" s="8"/>
      <c r="Q7" s="8"/>
      <c r="R7" s="8"/>
      <c r="S7" s="8"/>
      <c r="T7" s="15"/>
      <c r="U7" s="15"/>
      <c r="V7" s="15"/>
      <c r="W7" s="15"/>
      <c r="X7" s="15"/>
      <c r="Y7" s="15"/>
      <c r="Z7" s="15"/>
      <c r="AA7" s="15"/>
    </row>
    <row r="8" spans="1:27" ht="24.95" customHeight="1">
      <c r="A8" s="38"/>
      <c r="B8" s="10">
        <v>4</v>
      </c>
      <c r="C8" s="16" t="s">
        <v>19</v>
      </c>
      <c r="D8" s="12">
        <v>4446</v>
      </c>
      <c r="E8" s="12">
        <v>3158</v>
      </c>
      <c r="F8" s="12">
        <v>4338</v>
      </c>
      <c r="G8" s="12">
        <v>3747</v>
      </c>
      <c r="H8" s="13">
        <f t="shared" si="0"/>
        <v>1288</v>
      </c>
      <c r="I8" s="13">
        <f t="shared" si="1"/>
        <v>108</v>
      </c>
      <c r="J8" s="13">
        <f t="shared" si="2"/>
        <v>699</v>
      </c>
      <c r="K8" s="17">
        <v>2676</v>
      </c>
      <c r="L8" s="8"/>
      <c r="M8" s="8"/>
      <c r="N8" s="8"/>
      <c r="O8" s="8"/>
      <c r="P8" s="8"/>
      <c r="Q8" s="8"/>
      <c r="R8" s="8"/>
      <c r="S8" s="8"/>
      <c r="T8" s="15"/>
      <c r="U8" s="15"/>
      <c r="V8" s="15"/>
      <c r="W8" s="15"/>
      <c r="X8" s="15"/>
      <c r="Y8" s="15"/>
      <c r="Z8" s="15"/>
      <c r="AA8" s="15"/>
    </row>
    <row r="9" spans="1:27" ht="24.95" customHeight="1">
      <c r="A9" s="38"/>
      <c r="B9" s="10">
        <v>5</v>
      </c>
      <c r="C9" s="16" t="s">
        <v>20</v>
      </c>
      <c r="D9" s="12">
        <v>5352</v>
      </c>
      <c r="E9" s="12">
        <v>5271</v>
      </c>
      <c r="F9" s="12">
        <v>5230</v>
      </c>
      <c r="G9" s="12">
        <v>5103</v>
      </c>
      <c r="H9" s="13">
        <f t="shared" si="0"/>
        <v>81</v>
      </c>
      <c r="I9" s="13">
        <f t="shared" si="1"/>
        <v>122</v>
      </c>
      <c r="J9" s="13">
        <f t="shared" si="2"/>
        <v>249</v>
      </c>
      <c r="K9" s="17">
        <v>3973</v>
      </c>
      <c r="L9" s="8"/>
      <c r="M9" s="8"/>
      <c r="N9" s="8"/>
      <c r="O9" s="8"/>
      <c r="P9" s="8"/>
      <c r="Q9" s="8"/>
      <c r="R9" s="8"/>
      <c r="S9" s="8"/>
      <c r="T9" s="15"/>
      <c r="U9" s="15"/>
      <c r="V9" s="15"/>
      <c r="W9" s="15"/>
      <c r="X9" s="15"/>
      <c r="Y9" s="15"/>
      <c r="Z9" s="15"/>
      <c r="AA9" s="15"/>
    </row>
    <row r="10" spans="1:27" ht="24.95" customHeight="1">
      <c r="A10" s="37"/>
      <c r="B10" s="10">
        <v>6</v>
      </c>
      <c r="C10" s="16" t="s">
        <v>21</v>
      </c>
      <c r="D10" s="12">
        <v>21258</v>
      </c>
      <c r="E10" s="12">
        <v>19319</v>
      </c>
      <c r="F10" s="12">
        <v>20926</v>
      </c>
      <c r="G10" s="12">
        <v>20244</v>
      </c>
      <c r="H10" s="13">
        <f t="shared" si="0"/>
        <v>1939</v>
      </c>
      <c r="I10" s="13">
        <f t="shared" si="1"/>
        <v>332</v>
      </c>
      <c r="J10" s="13">
        <f t="shared" si="2"/>
        <v>1014</v>
      </c>
      <c r="K10" s="17">
        <v>13039</v>
      </c>
      <c r="L10" s="8"/>
      <c r="M10" s="8"/>
      <c r="N10" s="8"/>
      <c r="O10" s="8"/>
      <c r="P10" s="8"/>
      <c r="Q10" s="8"/>
      <c r="R10" s="8"/>
      <c r="S10" s="8"/>
      <c r="T10" s="15"/>
      <c r="U10" s="15"/>
      <c r="V10" s="15"/>
      <c r="W10" s="15"/>
      <c r="X10" s="15"/>
      <c r="Y10" s="15"/>
      <c r="Z10" s="15"/>
      <c r="AA10" s="15"/>
    </row>
    <row r="11" spans="1:27" ht="24.95" customHeight="1">
      <c r="A11" s="36" t="s">
        <v>22</v>
      </c>
      <c r="B11" s="10">
        <v>7</v>
      </c>
      <c r="C11" s="16" t="s">
        <v>23</v>
      </c>
      <c r="D11" s="12">
        <v>1704</v>
      </c>
      <c r="E11" s="12">
        <v>1588</v>
      </c>
      <c r="F11" s="12">
        <v>1694</v>
      </c>
      <c r="G11" s="12">
        <v>1316</v>
      </c>
      <c r="H11" s="13">
        <f t="shared" si="0"/>
        <v>116</v>
      </c>
      <c r="I11" s="13">
        <f t="shared" si="1"/>
        <v>10</v>
      </c>
      <c r="J11" s="13">
        <f t="shared" si="2"/>
        <v>388</v>
      </c>
      <c r="K11" s="17">
        <v>2246</v>
      </c>
      <c r="L11" s="8"/>
      <c r="M11" s="8"/>
      <c r="N11" s="8"/>
      <c r="O11" s="8"/>
      <c r="P11" s="8"/>
      <c r="Q11" s="8"/>
      <c r="R11" s="8"/>
      <c r="S11" s="8"/>
      <c r="T11" s="15"/>
      <c r="U11" s="15"/>
      <c r="V11" s="15"/>
      <c r="W11" s="15"/>
      <c r="X11" s="15"/>
      <c r="Y11" s="15"/>
      <c r="Z11" s="15"/>
      <c r="AA11" s="15"/>
    </row>
    <row r="12" spans="1:27" ht="24.95" customHeight="1">
      <c r="A12" s="38"/>
      <c r="B12" s="10">
        <v>8</v>
      </c>
      <c r="C12" s="16" t="s">
        <v>24</v>
      </c>
      <c r="D12" s="12">
        <v>4080</v>
      </c>
      <c r="E12" s="12">
        <v>4003</v>
      </c>
      <c r="F12" s="12">
        <v>4044</v>
      </c>
      <c r="G12" s="12">
        <v>3209</v>
      </c>
      <c r="H12" s="13">
        <f t="shared" si="0"/>
        <v>77</v>
      </c>
      <c r="I12" s="13">
        <f t="shared" si="1"/>
        <v>36</v>
      </c>
      <c r="J12" s="13">
        <f t="shared" si="2"/>
        <v>871</v>
      </c>
      <c r="K12" s="17">
        <v>5384</v>
      </c>
      <c r="L12" s="8"/>
      <c r="M12" s="8"/>
      <c r="N12" s="8"/>
      <c r="O12" s="8"/>
      <c r="P12" s="8"/>
      <c r="Q12" s="8"/>
      <c r="R12" s="8"/>
      <c r="S12" s="8"/>
      <c r="T12" s="15"/>
      <c r="U12" s="15"/>
      <c r="V12" s="15"/>
      <c r="W12" s="15"/>
      <c r="X12" s="15"/>
      <c r="Y12" s="15"/>
      <c r="Z12" s="15"/>
      <c r="AA12" s="15"/>
    </row>
    <row r="13" spans="1:27" ht="24.95" customHeight="1">
      <c r="A13" s="38"/>
      <c r="B13" s="10">
        <v>9</v>
      </c>
      <c r="C13" s="16" t="s">
        <v>25</v>
      </c>
      <c r="D13" s="12">
        <v>5006</v>
      </c>
      <c r="E13" s="12">
        <v>4699</v>
      </c>
      <c r="F13" s="12">
        <v>4947</v>
      </c>
      <c r="G13" s="12">
        <v>4235</v>
      </c>
      <c r="H13" s="13">
        <f t="shared" si="0"/>
        <v>307</v>
      </c>
      <c r="I13" s="13">
        <f t="shared" si="1"/>
        <v>59</v>
      </c>
      <c r="J13" s="13">
        <f t="shared" si="2"/>
        <v>771</v>
      </c>
      <c r="K13" s="17">
        <v>4631</v>
      </c>
      <c r="L13" s="18"/>
      <c r="M13" s="8"/>
      <c r="N13" s="8"/>
      <c r="O13" s="8"/>
      <c r="P13" s="8"/>
      <c r="Q13" s="8"/>
      <c r="R13" s="8"/>
      <c r="S13" s="19"/>
      <c r="T13" s="15"/>
      <c r="U13" s="15"/>
      <c r="V13" s="15"/>
      <c r="W13" s="15"/>
      <c r="X13" s="15"/>
      <c r="Y13" s="15"/>
      <c r="Z13" s="15"/>
      <c r="AA13" s="15"/>
    </row>
    <row r="14" spans="1:27" ht="24.95" customHeight="1">
      <c r="A14" s="38"/>
      <c r="B14" s="10">
        <v>10</v>
      </c>
      <c r="C14" s="16" t="s">
        <v>26</v>
      </c>
      <c r="D14" s="12">
        <v>3188</v>
      </c>
      <c r="E14" s="12">
        <v>3025</v>
      </c>
      <c r="F14" s="12">
        <v>3147</v>
      </c>
      <c r="G14" s="12">
        <v>2851</v>
      </c>
      <c r="H14" s="13">
        <f t="shared" si="0"/>
        <v>163</v>
      </c>
      <c r="I14" s="13">
        <f t="shared" si="1"/>
        <v>41</v>
      </c>
      <c r="J14" s="13">
        <f t="shared" si="2"/>
        <v>337</v>
      </c>
      <c r="K14" s="17">
        <v>1747</v>
      </c>
      <c r="L14" s="8"/>
      <c r="M14" s="8"/>
      <c r="N14" s="8"/>
      <c r="O14" s="8"/>
      <c r="P14" s="8"/>
      <c r="Q14" s="8"/>
      <c r="R14" s="8"/>
      <c r="S14" s="20"/>
      <c r="T14" s="15"/>
      <c r="U14" s="15"/>
      <c r="V14" s="15"/>
      <c r="W14" s="15"/>
      <c r="X14" s="15"/>
      <c r="Y14" s="15"/>
      <c r="Z14" s="15"/>
      <c r="AA14" s="15"/>
    </row>
    <row r="15" spans="1:27" ht="24.95" customHeight="1">
      <c r="A15" s="37"/>
      <c r="B15" s="10">
        <v>11</v>
      </c>
      <c r="C15" s="16" t="s">
        <v>27</v>
      </c>
      <c r="D15" s="12">
        <v>27575</v>
      </c>
      <c r="E15" s="12">
        <v>26089</v>
      </c>
      <c r="F15" s="12">
        <v>27427</v>
      </c>
      <c r="G15" s="12">
        <v>26108</v>
      </c>
      <c r="H15" s="13">
        <f t="shared" si="0"/>
        <v>1486</v>
      </c>
      <c r="I15" s="13">
        <f t="shared" si="1"/>
        <v>148</v>
      </c>
      <c r="J15" s="13">
        <f t="shared" si="2"/>
        <v>1467</v>
      </c>
      <c r="K15" s="17">
        <v>21103</v>
      </c>
      <c r="L15" s="8"/>
      <c r="M15" s="8"/>
      <c r="N15" s="8"/>
      <c r="O15" s="8"/>
      <c r="P15" s="8"/>
      <c r="Q15" s="8"/>
      <c r="R15" s="8"/>
      <c r="S15" s="8"/>
      <c r="T15" s="15"/>
      <c r="U15" s="15"/>
      <c r="V15" s="15"/>
      <c r="W15" s="15"/>
      <c r="X15" s="15"/>
      <c r="Y15" s="15"/>
      <c r="Z15" s="15"/>
      <c r="AA15" s="15"/>
    </row>
    <row r="16" spans="1:27" ht="24.95" customHeight="1">
      <c r="A16" s="36" t="s">
        <v>28</v>
      </c>
      <c r="B16" s="10">
        <v>12</v>
      </c>
      <c r="C16" s="16" t="s">
        <v>29</v>
      </c>
      <c r="D16" s="12">
        <v>1045</v>
      </c>
      <c r="E16" s="12">
        <v>946</v>
      </c>
      <c r="F16" s="12">
        <v>1015</v>
      </c>
      <c r="G16" s="12">
        <v>848</v>
      </c>
      <c r="H16" s="13">
        <f t="shared" si="0"/>
        <v>99</v>
      </c>
      <c r="I16" s="13">
        <f t="shared" si="1"/>
        <v>30</v>
      </c>
      <c r="J16" s="13">
        <f t="shared" si="2"/>
        <v>197</v>
      </c>
      <c r="K16" s="17">
        <v>1986</v>
      </c>
      <c r="L16" s="8"/>
      <c r="M16" s="8"/>
      <c r="N16" s="8"/>
      <c r="O16" s="8"/>
      <c r="P16" s="8"/>
      <c r="Q16" s="8"/>
      <c r="R16" s="8"/>
      <c r="S16" s="8"/>
      <c r="T16" s="15"/>
      <c r="U16" s="15"/>
      <c r="V16" s="15"/>
      <c r="W16" s="15"/>
      <c r="X16" s="15"/>
      <c r="Y16" s="15"/>
      <c r="Z16" s="15"/>
      <c r="AA16" s="15"/>
    </row>
    <row r="17" spans="1:27" ht="24.95" customHeight="1">
      <c r="A17" s="38"/>
      <c r="B17" s="10">
        <v>13</v>
      </c>
      <c r="C17" s="16" t="s">
        <v>30</v>
      </c>
      <c r="D17" s="12">
        <v>1996</v>
      </c>
      <c r="E17" s="12">
        <v>1950</v>
      </c>
      <c r="F17" s="12">
        <v>1964</v>
      </c>
      <c r="G17" s="12">
        <v>1805</v>
      </c>
      <c r="H17" s="13">
        <f t="shared" si="0"/>
        <v>46</v>
      </c>
      <c r="I17" s="13">
        <f t="shared" si="1"/>
        <v>32</v>
      </c>
      <c r="J17" s="13">
        <f t="shared" si="2"/>
        <v>191</v>
      </c>
      <c r="K17" s="17">
        <v>2305</v>
      </c>
      <c r="L17" s="8"/>
      <c r="M17" s="8"/>
      <c r="N17" s="8"/>
      <c r="O17" s="8"/>
      <c r="P17" s="8"/>
      <c r="Q17" s="8"/>
      <c r="R17" s="8"/>
      <c r="S17" s="8"/>
      <c r="T17" s="15"/>
      <c r="U17" s="15"/>
      <c r="V17" s="15"/>
      <c r="W17" s="15"/>
      <c r="X17" s="15"/>
      <c r="Y17" s="15"/>
      <c r="Z17" s="15"/>
      <c r="AA17" s="15"/>
    </row>
    <row r="18" spans="1:27" ht="24.95" customHeight="1">
      <c r="A18" s="38"/>
      <c r="B18" s="10">
        <v>14</v>
      </c>
      <c r="C18" s="16" t="s">
        <v>31</v>
      </c>
      <c r="D18" s="12">
        <v>724</v>
      </c>
      <c r="E18" s="12">
        <v>717</v>
      </c>
      <c r="F18" s="12">
        <v>710</v>
      </c>
      <c r="G18" s="12">
        <v>702</v>
      </c>
      <c r="H18" s="13">
        <f t="shared" si="0"/>
        <v>7</v>
      </c>
      <c r="I18" s="13">
        <f t="shared" si="1"/>
        <v>14</v>
      </c>
      <c r="J18" s="13">
        <f t="shared" si="2"/>
        <v>22</v>
      </c>
      <c r="K18" s="21">
        <v>664</v>
      </c>
      <c r="L18" s="8"/>
      <c r="M18" s="8"/>
      <c r="N18" s="8"/>
      <c r="O18" s="8"/>
      <c r="P18" s="8"/>
      <c r="Q18" s="8"/>
      <c r="R18" s="8"/>
      <c r="S18" s="8"/>
      <c r="T18" s="15"/>
      <c r="U18" s="15"/>
      <c r="V18" s="15"/>
      <c r="W18" s="15"/>
      <c r="X18" s="15"/>
      <c r="Y18" s="15"/>
      <c r="Z18" s="15"/>
      <c r="AA18" s="15"/>
    </row>
    <row r="19" spans="1:27" ht="24.95" customHeight="1">
      <c r="A19" s="38"/>
      <c r="B19" s="10">
        <v>15</v>
      </c>
      <c r="C19" s="16" t="s">
        <v>32</v>
      </c>
      <c r="D19" s="12">
        <v>1352</v>
      </c>
      <c r="E19" s="12">
        <v>1266</v>
      </c>
      <c r="F19" s="12">
        <v>1320</v>
      </c>
      <c r="G19" s="12">
        <v>1191</v>
      </c>
      <c r="H19" s="13">
        <f t="shared" si="0"/>
        <v>86</v>
      </c>
      <c r="I19" s="13">
        <f t="shared" si="1"/>
        <v>32</v>
      </c>
      <c r="J19" s="13">
        <f t="shared" si="2"/>
        <v>161</v>
      </c>
      <c r="K19" s="17">
        <v>1477</v>
      </c>
      <c r="L19" s="8"/>
      <c r="M19" s="8"/>
      <c r="N19" s="8"/>
      <c r="O19" s="8"/>
      <c r="P19" s="8"/>
      <c r="Q19" s="8"/>
      <c r="R19" s="8"/>
      <c r="S19" s="8"/>
      <c r="T19" s="15"/>
      <c r="U19" s="15"/>
      <c r="V19" s="15"/>
      <c r="W19" s="15"/>
      <c r="X19" s="15"/>
      <c r="Y19" s="15"/>
      <c r="Z19" s="15"/>
      <c r="AA19" s="15"/>
    </row>
    <row r="20" spans="1:27" ht="24.95" customHeight="1">
      <c r="A20" s="38"/>
      <c r="B20" s="10">
        <v>16</v>
      </c>
      <c r="C20" s="16" t="s">
        <v>33</v>
      </c>
      <c r="D20" s="12">
        <v>1073</v>
      </c>
      <c r="E20" s="12">
        <v>1036</v>
      </c>
      <c r="F20" s="12">
        <v>1046</v>
      </c>
      <c r="G20" s="12">
        <v>922</v>
      </c>
      <c r="H20" s="13">
        <f t="shared" si="0"/>
        <v>37</v>
      </c>
      <c r="I20" s="13">
        <f t="shared" si="1"/>
        <v>27</v>
      </c>
      <c r="J20" s="13">
        <f t="shared" si="2"/>
        <v>151</v>
      </c>
      <c r="K20" s="17">
        <v>1417</v>
      </c>
      <c r="L20" s="8"/>
      <c r="M20" s="8"/>
      <c r="N20" s="8"/>
      <c r="O20" s="8"/>
      <c r="P20" s="8"/>
      <c r="Q20" s="8"/>
      <c r="R20" s="8"/>
      <c r="S20" s="8"/>
      <c r="T20" s="15"/>
      <c r="U20" s="15"/>
      <c r="V20" s="15"/>
      <c r="W20" s="15"/>
      <c r="X20" s="15"/>
      <c r="Y20" s="15"/>
      <c r="Z20" s="15"/>
      <c r="AA20" s="15"/>
    </row>
    <row r="21" spans="1:27" ht="24.95" customHeight="1">
      <c r="A21" s="38"/>
      <c r="B21" s="10">
        <v>17</v>
      </c>
      <c r="C21" s="16" t="s">
        <v>34</v>
      </c>
      <c r="D21" s="12">
        <v>224</v>
      </c>
      <c r="E21" s="12">
        <v>224</v>
      </c>
      <c r="F21" s="12">
        <v>222</v>
      </c>
      <c r="G21" s="12">
        <v>207</v>
      </c>
      <c r="H21" s="13">
        <f t="shared" si="0"/>
        <v>0</v>
      </c>
      <c r="I21" s="13">
        <f t="shared" si="1"/>
        <v>2</v>
      </c>
      <c r="J21" s="13">
        <f t="shared" si="2"/>
        <v>17</v>
      </c>
      <c r="K21" s="21">
        <v>90</v>
      </c>
      <c r="L21" s="8"/>
      <c r="M21" s="8"/>
      <c r="N21" s="8"/>
      <c r="O21" s="8"/>
      <c r="P21" s="8"/>
      <c r="Q21" s="8"/>
      <c r="R21" s="8"/>
      <c r="S21" s="8"/>
      <c r="T21" s="15"/>
      <c r="U21" s="15"/>
      <c r="V21" s="15"/>
      <c r="W21" s="15"/>
      <c r="X21" s="15"/>
      <c r="Y21" s="15"/>
      <c r="Z21" s="15"/>
      <c r="AA21" s="15"/>
    </row>
    <row r="22" spans="1:27" ht="24.95" customHeight="1">
      <c r="A22" s="38"/>
      <c r="B22" s="10">
        <v>18</v>
      </c>
      <c r="C22" s="16" t="s">
        <v>35</v>
      </c>
      <c r="D22" s="12">
        <v>2566</v>
      </c>
      <c r="E22" s="12">
        <v>2407</v>
      </c>
      <c r="F22" s="12">
        <v>2494</v>
      </c>
      <c r="G22" s="12">
        <v>2002</v>
      </c>
      <c r="H22" s="13">
        <f t="shared" si="0"/>
        <v>159</v>
      </c>
      <c r="I22" s="13">
        <f t="shared" si="1"/>
        <v>72</v>
      </c>
      <c r="J22" s="13">
        <f t="shared" si="2"/>
        <v>564</v>
      </c>
      <c r="K22" s="17">
        <v>4122</v>
      </c>
      <c r="L22" s="8"/>
      <c r="M22" s="8"/>
      <c r="N22" s="8"/>
      <c r="O22" s="8"/>
      <c r="P22" s="8"/>
      <c r="Q22" s="8"/>
      <c r="R22" s="8"/>
      <c r="S22" s="8"/>
      <c r="T22" s="15"/>
      <c r="U22" s="15"/>
      <c r="V22" s="15"/>
      <c r="W22" s="15"/>
      <c r="X22" s="15"/>
      <c r="Y22" s="15"/>
      <c r="Z22" s="15"/>
      <c r="AA22" s="15"/>
    </row>
    <row r="23" spans="1:27" ht="24.95" customHeight="1">
      <c r="A23" s="38"/>
      <c r="B23" s="10">
        <v>19</v>
      </c>
      <c r="C23" s="16" t="s">
        <v>36</v>
      </c>
      <c r="D23" s="12">
        <v>3643</v>
      </c>
      <c r="E23" s="12">
        <v>3510</v>
      </c>
      <c r="F23" s="12">
        <v>3598</v>
      </c>
      <c r="G23" s="12">
        <v>3115</v>
      </c>
      <c r="H23" s="13">
        <f t="shared" si="0"/>
        <v>133</v>
      </c>
      <c r="I23" s="13">
        <f t="shared" si="1"/>
        <v>45</v>
      </c>
      <c r="J23" s="13">
        <f t="shared" si="2"/>
        <v>528</v>
      </c>
      <c r="K23" s="17">
        <v>3135</v>
      </c>
      <c r="L23" s="8"/>
      <c r="M23" s="8"/>
      <c r="N23" s="8"/>
      <c r="O23" s="8"/>
      <c r="P23" s="8"/>
      <c r="Q23" s="8"/>
      <c r="R23" s="8"/>
      <c r="S23" s="8"/>
      <c r="T23" s="15"/>
      <c r="U23" s="15"/>
      <c r="V23" s="15"/>
      <c r="W23" s="15"/>
      <c r="X23" s="15"/>
      <c r="Y23" s="15"/>
      <c r="Z23" s="15"/>
      <c r="AA23" s="15"/>
    </row>
    <row r="24" spans="1:27" ht="24.95" customHeight="1">
      <c r="A24" s="37"/>
      <c r="B24" s="10">
        <v>20</v>
      </c>
      <c r="C24" s="16" t="s">
        <v>37</v>
      </c>
      <c r="D24" s="12">
        <v>22888</v>
      </c>
      <c r="E24" s="12">
        <v>22091</v>
      </c>
      <c r="F24" s="12">
        <v>22667</v>
      </c>
      <c r="G24" s="12">
        <v>21030</v>
      </c>
      <c r="H24" s="13">
        <f t="shared" si="0"/>
        <v>797</v>
      </c>
      <c r="I24" s="13">
        <f t="shared" si="1"/>
        <v>221</v>
      </c>
      <c r="J24" s="13">
        <f t="shared" si="2"/>
        <v>1858</v>
      </c>
      <c r="K24" s="17">
        <v>14108</v>
      </c>
      <c r="L24" s="8"/>
      <c r="M24" s="8"/>
      <c r="N24" s="8"/>
      <c r="O24" s="8"/>
      <c r="P24" s="8"/>
      <c r="Q24" s="8"/>
      <c r="R24" s="8"/>
      <c r="S24" s="8"/>
      <c r="T24" s="15"/>
      <c r="U24" s="15"/>
      <c r="V24" s="15"/>
      <c r="W24" s="15"/>
      <c r="X24" s="15"/>
      <c r="Y24" s="15"/>
      <c r="Z24" s="15"/>
      <c r="AA24" s="15"/>
    </row>
    <row r="25" spans="1:27" ht="24.95" customHeight="1">
      <c r="A25" s="36" t="s">
        <v>38</v>
      </c>
      <c r="B25" s="10">
        <v>21</v>
      </c>
      <c r="C25" s="16" t="s">
        <v>39</v>
      </c>
      <c r="D25" s="12">
        <v>1734</v>
      </c>
      <c r="E25" s="12">
        <v>1606</v>
      </c>
      <c r="F25" s="12">
        <v>1655</v>
      </c>
      <c r="G25" s="12">
        <v>1491</v>
      </c>
      <c r="H25" s="13">
        <f t="shared" si="0"/>
        <v>128</v>
      </c>
      <c r="I25" s="13">
        <f t="shared" si="1"/>
        <v>79</v>
      </c>
      <c r="J25" s="13">
        <f t="shared" si="2"/>
        <v>243</v>
      </c>
      <c r="K25" s="22">
        <v>2305</v>
      </c>
      <c r="L25" s="8"/>
      <c r="M25" s="8"/>
      <c r="N25" s="8"/>
      <c r="O25" s="8"/>
      <c r="P25" s="8"/>
      <c r="Q25" s="8"/>
      <c r="R25" s="8"/>
      <c r="S25" s="8"/>
      <c r="T25" s="15"/>
      <c r="U25" s="15"/>
      <c r="V25" s="15"/>
      <c r="W25" s="15"/>
      <c r="X25" s="15"/>
      <c r="Y25" s="15"/>
      <c r="Z25" s="15"/>
      <c r="AA25" s="15"/>
    </row>
    <row r="26" spans="1:27" ht="24.95" customHeight="1">
      <c r="A26" s="38"/>
      <c r="B26" s="10">
        <v>22</v>
      </c>
      <c r="C26" s="16" t="s">
        <v>40</v>
      </c>
      <c r="D26" s="12">
        <v>1438</v>
      </c>
      <c r="E26" s="12">
        <v>1135</v>
      </c>
      <c r="F26" s="12">
        <v>1342</v>
      </c>
      <c r="G26" s="12">
        <v>993</v>
      </c>
      <c r="H26" s="13">
        <f t="shared" si="0"/>
        <v>303</v>
      </c>
      <c r="I26" s="13">
        <f t="shared" si="1"/>
        <v>96</v>
      </c>
      <c r="J26" s="13">
        <f t="shared" si="2"/>
        <v>445</v>
      </c>
      <c r="K26" s="22">
        <v>1439</v>
      </c>
      <c r="L26" s="8"/>
      <c r="M26" s="8"/>
      <c r="N26" s="8"/>
      <c r="O26" s="8"/>
      <c r="P26" s="8"/>
      <c r="Q26" s="8"/>
      <c r="R26" s="8"/>
      <c r="S26" s="8"/>
      <c r="T26" s="15"/>
      <c r="U26" s="15"/>
      <c r="V26" s="15"/>
      <c r="W26" s="15"/>
      <c r="X26" s="15"/>
      <c r="Y26" s="15"/>
      <c r="Z26" s="15"/>
      <c r="AA26" s="15"/>
    </row>
    <row r="27" spans="1:27" ht="24.95" customHeight="1">
      <c r="A27" s="38"/>
      <c r="B27" s="10">
        <v>23</v>
      </c>
      <c r="C27" s="16" t="s">
        <v>41</v>
      </c>
      <c r="D27" s="12">
        <v>667</v>
      </c>
      <c r="E27" s="12">
        <v>662</v>
      </c>
      <c r="F27" s="12">
        <v>665</v>
      </c>
      <c r="G27" s="12">
        <v>642</v>
      </c>
      <c r="H27" s="13">
        <f t="shared" si="0"/>
        <v>5</v>
      </c>
      <c r="I27" s="13">
        <f t="shared" si="1"/>
        <v>2</v>
      </c>
      <c r="J27" s="13">
        <f t="shared" si="2"/>
        <v>25</v>
      </c>
      <c r="K27" s="23">
        <v>477</v>
      </c>
      <c r="L27" s="8"/>
      <c r="M27" s="8"/>
      <c r="N27" s="8"/>
      <c r="O27" s="8"/>
      <c r="P27" s="8"/>
      <c r="Q27" s="8"/>
      <c r="R27" s="8"/>
      <c r="S27" s="8"/>
      <c r="T27" s="15"/>
      <c r="U27" s="15"/>
      <c r="V27" s="15"/>
      <c r="W27" s="15"/>
      <c r="X27" s="15"/>
      <c r="Y27" s="15"/>
      <c r="Z27" s="15"/>
      <c r="AA27" s="15"/>
    </row>
    <row r="28" spans="1:27" ht="24.95" customHeight="1">
      <c r="A28" s="38"/>
      <c r="B28" s="10">
        <v>24</v>
      </c>
      <c r="C28" s="16" t="s">
        <v>42</v>
      </c>
      <c r="D28" s="12">
        <v>3922</v>
      </c>
      <c r="E28" s="12">
        <v>3455</v>
      </c>
      <c r="F28" s="12">
        <v>3737</v>
      </c>
      <c r="G28" s="12">
        <v>3295</v>
      </c>
      <c r="H28" s="13">
        <f t="shared" si="0"/>
        <v>467</v>
      </c>
      <c r="I28" s="13">
        <f t="shared" si="1"/>
        <v>185</v>
      </c>
      <c r="J28" s="13">
        <f t="shared" si="2"/>
        <v>627</v>
      </c>
      <c r="K28" s="17">
        <v>7047</v>
      </c>
      <c r="L28" s="8"/>
      <c r="M28" s="8"/>
      <c r="N28" s="8"/>
      <c r="O28" s="8"/>
      <c r="P28" s="8"/>
      <c r="Q28" s="8"/>
      <c r="R28" s="8"/>
      <c r="S28" s="8"/>
      <c r="T28" s="15"/>
      <c r="U28" s="15"/>
      <c r="V28" s="15"/>
      <c r="W28" s="15"/>
      <c r="X28" s="15"/>
      <c r="Y28" s="15"/>
      <c r="Z28" s="15"/>
      <c r="AA28" s="15"/>
    </row>
    <row r="29" spans="1:27" ht="24.95" customHeight="1">
      <c r="A29" s="38"/>
      <c r="B29" s="10">
        <v>25</v>
      </c>
      <c r="C29" s="16" t="s">
        <v>43</v>
      </c>
      <c r="D29" s="12">
        <v>2778</v>
      </c>
      <c r="E29" s="12">
        <v>1600</v>
      </c>
      <c r="F29" s="12">
        <v>2641</v>
      </c>
      <c r="G29" s="12">
        <v>1963</v>
      </c>
      <c r="H29" s="13">
        <f t="shared" si="0"/>
        <v>1178</v>
      </c>
      <c r="I29" s="13">
        <f t="shared" si="1"/>
        <v>137</v>
      </c>
      <c r="J29" s="13">
        <f t="shared" si="2"/>
        <v>815</v>
      </c>
      <c r="K29" s="24">
        <v>5411</v>
      </c>
      <c r="L29" s="8"/>
      <c r="M29" s="8"/>
      <c r="N29" s="8"/>
      <c r="O29" s="8"/>
      <c r="P29" s="8"/>
      <c r="Q29" s="8"/>
      <c r="R29" s="8"/>
      <c r="S29" s="8"/>
      <c r="T29" s="15"/>
      <c r="U29" s="15"/>
      <c r="V29" s="15"/>
      <c r="W29" s="15"/>
      <c r="X29" s="15"/>
      <c r="Y29" s="15"/>
      <c r="Z29" s="15"/>
      <c r="AA29" s="15"/>
    </row>
    <row r="30" spans="1:27" ht="24.95" customHeight="1">
      <c r="A30" s="38"/>
      <c r="B30" s="10">
        <v>26</v>
      </c>
      <c r="C30" s="16" t="s">
        <v>44</v>
      </c>
      <c r="D30" s="12">
        <v>953</v>
      </c>
      <c r="E30" s="12">
        <v>936</v>
      </c>
      <c r="F30" s="12">
        <v>928</v>
      </c>
      <c r="G30" s="12">
        <v>922</v>
      </c>
      <c r="H30" s="13">
        <f t="shared" si="0"/>
        <v>17</v>
      </c>
      <c r="I30" s="13">
        <f t="shared" si="1"/>
        <v>25</v>
      </c>
      <c r="J30" s="13">
        <f t="shared" si="2"/>
        <v>31</v>
      </c>
      <c r="K30" s="25">
        <v>1111</v>
      </c>
      <c r="L30" s="8"/>
      <c r="M30" s="8"/>
      <c r="N30" s="8"/>
      <c r="O30" s="8"/>
      <c r="P30" s="8"/>
      <c r="Q30" s="8"/>
      <c r="R30" s="8"/>
      <c r="S30" s="8"/>
      <c r="T30" s="15"/>
      <c r="U30" s="15"/>
      <c r="V30" s="15"/>
      <c r="W30" s="15"/>
      <c r="X30" s="15"/>
      <c r="Y30" s="15"/>
      <c r="Z30" s="15"/>
      <c r="AA30" s="15"/>
    </row>
    <row r="31" spans="1:27" ht="24.95" customHeight="1">
      <c r="A31" s="38"/>
      <c r="B31" s="10">
        <v>27</v>
      </c>
      <c r="C31" s="16" t="s">
        <v>45</v>
      </c>
      <c r="D31" s="12">
        <v>1160</v>
      </c>
      <c r="E31" s="26">
        <v>1149</v>
      </c>
      <c r="F31" s="12">
        <v>1151</v>
      </c>
      <c r="G31" s="12">
        <v>1146</v>
      </c>
      <c r="H31" s="13">
        <f t="shared" si="0"/>
        <v>11</v>
      </c>
      <c r="I31" s="13">
        <f t="shared" si="1"/>
        <v>9</v>
      </c>
      <c r="J31" s="13">
        <f t="shared" si="2"/>
        <v>14</v>
      </c>
      <c r="K31" s="21">
        <v>869</v>
      </c>
      <c r="L31" s="8"/>
      <c r="M31" s="8"/>
      <c r="N31" s="8"/>
      <c r="O31" s="8"/>
      <c r="P31" s="8"/>
      <c r="Q31" s="8"/>
      <c r="R31" s="8"/>
      <c r="S31" s="8"/>
      <c r="T31" s="15"/>
      <c r="U31" s="15"/>
      <c r="V31" s="15"/>
      <c r="W31" s="15"/>
      <c r="X31" s="15"/>
      <c r="Y31" s="15"/>
      <c r="Z31" s="15"/>
      <c r="AA31" s="15"/>
    </row>
    <row r="32" spans="1:27" ht="24.95" customHeight="1">
      <c r="A32" s="38"/>
      <c r="B32" s="10">
        <v>28</v>
      </c>
      <c r="C32" s="16" t="s">
        <v>46</v>
      </c>
      <c r="D32" s="12">
        <v>1456</v>
      </c>
      <c r="E32" s="26">
        <v>1424</v>
      </c>
      <c r="F32" s="26">
        <v>1438</v>
      </c>
      <c r="G32" s="12">
        <v>1431</v>
      </c>
      <c r="H32" s="13">
        <f t="shared" si="0"/>
        <v>32</v>
      </c>
      <c r="I32" s="13">
        <f t="shared" si="1"/>
        <v>18</v>
      </c>
      <c r="J32" s="13">
        <f t="shared" si="2"/>
        <v>25</v>
      </c>
      <c r="K32" s="17">
        <v>1484</v>
      </c>
      <c r="L32" s="8"/>
      <c r="M32" s="8"/>
      <c r="N32" s="8"/>
      <c r="O32" s="8"/>
      <c r="P32" s="8"/>
      <c r="Q32" s="8"/>
      <c r="R32" s="8"/>
      <c r="S32" s="8"/>
      <c r="T32" s="15"/>
      <c r="U32" s="15"/>
      <c r="V32" s="15"/>
      <c r="W32" s="15"/>
      <c r="X32" s="15"/>
      <c r="Y32" s="15"/>
      <c r="Z32" s="15"/>
      <c r="AA32" s="15"/>
    </row>
    <row r="33" spans="1:27" ht="24.95" customHeight="1">
      <c r="A33" s="38"/>
      <c r="B33" s="10">
        <v>29</v>
      </c>
      <c r="C33" s="16" t="s">
        <v>47</v>
      </c>
      <c r="D33" s="12">
        <v>3399</v>
      </c>
      <c r="E33" s="26">
        <v>3096</v>
      </c>
      <c r="F33" s="26">
        <v>3270</v>
      </c>
      <c r="G33" s="12">
        <v>2938</v>
      </c>
      <c r="H33" s="13">
        <f t="shared" si="0"/>
        <v>303</v>
      </c>
      <c r="I33" s="13">
        <f t="shared" si="1"/>
        <v>129</v>
      </c>
      <c r="J33" s="13">
        <f t="shared" si="2"/>
        <v>461</v>
      </c>
      <c r="K33" s="17">
        <v>2208</v>
      </c>
      <c r="L33" s="8"/>
      <c r="M33" s="8"/>
      <c r="N33" s="8"/>
      <c r="O33" s="8"/>
      <c r="P33" s="8"/>
      <c r="Q33" s="8"/>
      <c r="R33" s="8"/>
      <c r="S33" s="8"/>
      <c r="T33" s="15"/>
      <c r="U33" s="15"/>
      <c r="V33" s="15"/>
      <c r="W33" s="15"/>
      <c r="X33" s="15"/>
      <c r="Y33" s="15"/>
      <c r="Z33" s="15"/>
      <c r="AA33" s="15"/>
    </row>
    <row r="34" spans="1:27" ht="24.95" customHeight="1">
      <c r="A34" s="37"/>
      <c r="B34" s="10">
        <v>30</v>
      </c>
      <c r="C34" s="16" t="s">
        <v>48</v>
      </c>
      <c r="D34" s="26">
        <v>3922</v>
      </c>
      <c r="E34" s="26">
        <v>3836</v>
      </c>
      <c r="F34" s="26">
        <v>3832</v>
      </c>
      <c r="G34" s="12">
        <v>3556</v>
      </c>
      <c r="H34" s="13">
        <f t="shared" si="0"/>
        <v>86</v>
      </c>
      <c r="I34" s="13">
        <f t="shared" si="1"/>
        <v>90</v>
      </c>
      <c r="J34" s="13">
        <f t="shared" si="2"/>
        <v>366</v>
      </c>
      <c r="K34" s="22">
        <v>3443</v>
      </c>
      <c r="L34" s="8"/>
      <c r="M34" s="8"/>
      <c r="N34" s="8"/>
      <c r="O34" s="8"/>
      <c r="P34" s="8"/>
      <c r="Q34" s="8"/>
      <c r="R34" s="8"/>
      <c r="S34" s="8"/>
      <c r="T34" s="15"/>
      <c r="U34" s="15"/>
      <c r="V34" s="15"/>
      <c r="W34" s="15"/>
      <c r="X34" s="15"/>
      <c r="Y34" s="15"/>
      <c r="Z34" s="15"/>
      <c r="AA34" s="15"/>
    </row>
    <row r="35" spans="1:27" ht="24.95" customHeight="1">
      <c r="A35" s="36" t="s">
        <v>49</v>
      </c>
      <c r="B35" s="10">
        <v>31</v>
      </c>
      <c r="C35" s="16" t="s">
        <v>50</v>
      </c>
      <c r="D35" s="26">
        <v>740</v>
      </c>
      <c r="E35" s="26">
        <v>718</v>
      </c>
      <c r="F35" s="26">
        <v>694</v>
      </c>
      <c r="G35" s="12">
        <v>690</v>
      </c>
      <c r="H35" s="13">
        <f t="shared" si="0"/>
        <v>22</v>
      </c>
      <c r="I35" s="13">
        <f t="shared" si="1"/>
        <v>46</v>
      </c>
      <c r="J35" s="13">
        <f t="shared" si="2"/>
        <v>50</v>
      </c>
      <c r="K35" s="23">
        <v>498</v>
      </c>
      <c r="L35" s="8"/>
      <c r="M35" s="8"/>
      <c r="N35" s="8"/>
      <c r="O35" s="8"/>
      <c r="P35" s="8"/>
      <c r="Q35" s="8"/>
      <c r="R35" s="8"/>
      <c r="S35" s="8"/>
      <c r="T35" s="15"/>
      <c r="U35" s="15"/>
      <c r="V35" s="15"/>
      <c r="W35" s="15"/>
      <c r="X35" s="15"/>
      <c r="Y35" s="15"/>
      <c r="Z35" s="15"/>
      <c r="AA35" s="15"/>
    </row>
    <row r="36" spans="1:27" ht="24.95" customHeight="1">
      <c r="A36" s="38"/>
      <c r="B36" s="10">
        <v>32</v>
      </c>
      <c r="C36" s="16" t="s">
        <v>51</v>
      </c>
      <c r="D36" s="26">
        <v>1291</v>
      </c>
      <c r="E36" s="26">
        <v>1240</v>
      </c>
      <c r="F36" s="26">
        <v>1241</v>
      </c>
      <c r="G36" s="12">
        <v>1160</v>
      </c>
      <c r="H36" s="13">
        <f t="shared" si="0"/>
        <v>51</v>
      </c>
      <c r="I36" s="13">
        <f t="shared" si="1"/>
        <v>50</v>
      </c>
      <c r="J36" s="13">
        <f t="shared" si="2"/>
        <v>131</v>
      </c>
      <c r="K36" s="22">
        <v>1096</v>
      </c>
      <c r="L36" s="8"/>
      <c r="M36" s="8"/>
      <c r="N36" s="8"/>
      <c r="O36" s="8"/>
      <c r="P36" s="8"/>
      <c r="Q36" s="8"/>
      <c r="R36" s="8"/>
      <c r="S36" s="8"/>
      <c r="T36" s="15"/>
      <c r="U36" s="15"/>
      <c r="V36" s="15"/>
      <c r="W36" s="15"/>
      <c r="X36" s="15"/>
      <c r="Y36" s="15"/>
      <c r="Z36" s="15"/>
      <c r="AA36" s="15"/>
    </row>
    <row r="37" spans="1:27" ht="24.95" customHeight="1">
      <c r="A37" s="38"/>
      <c r="B37" s="10">
        <v>33</v>
      </c>
      <c r="C37" s="16" t="s">
        <v>52</v>
      </c>
      <c r="D37" s="26">
        <v>1017</v>
      </c>
      <c r="E37" s="26">
        <v>966</v>
      </c>
      <c r="F37" s="26">
        <v>958</v>
      </c>
      <c r="G37" s="12">
        <v>782</v>
      </c>
      <c r="H37" s="13">
        <f t="shared" si="0"/>
        <v>51</v>
      </c>
      <c r="I37" s="13">
        <f t="shared" si="1"/>
        <v>59</v>
      </c>
      <c r="J37" s="13">
        <f t="shared" si="2"/>
        <v>235</v>
      </c>
      <c r="K37" s="23">
        <v>897</v>
      </c>
      <c r="L37" s="8"/>
      <c r="M37" s="8"/>
      <c r="N37" s="8"/>
      <c r="O37" s="8"/>
      <c r="P37" s="8"/>
      <c r="Q37" s="8"/>
      <c r="R37" s="8"/>
      <c r="S37" s="8"/>
      <c r="T37" s="15"/>
      <c r="U37" s="15"/>
      <c r="V37" s="15"/>
      <c r="W37" s="15"/>
      <c r="X37" s="15"/>
      <c r="Y37" s="15"/>
      <c r="Z37" s="15"/>
      <c r="AA37" s="15"/>
    </row>
    <row r="38" spans="1:27" ht="24.95" customHeight="1">
      <c r="A38" s="38"/>
      <c r="B38" s="10">
        <v>34</v>
      </c>
      <c r="C38" s="16" t="s">
        <v>53</v>
      </c>
      <c r="D38" s="26">
        <v>1650</v>
      </c>
      <c r="E38" s="26">
        <v>1605</v>
      </c>
      <c r="F38" s="26">
        <v>1603</v>
      </c>
      <c r="G38" s="12">
        <v>1599</v>
      </c>
      <c r="H38" s="13">
        <f t="shared" si="0"/>
        <v>45</v>
      </c>
      <c r="I38" s="13">
        <f t="shared" si="1"/>
        <v>47</v>
      </c>
      <c r="J38" s="13">
        <f t="shared" si="2"/>
        <v>51</v>
      </c>
      <c r="K38" s="22">
        <v>1077</v>
      </c>
      <c r="L38" s="8"/>
      <c r="M38" s="8"/>
      <c r="N38" s="8"/>
      <c r="O38" s="8"/>
      <c r="P38" s="8"/>
      <c r="Q38" s="8"/>
      <c r="R38" s="8"/>
      <c r="S38" s="8"/>
      <c r="T38" s="15"/>
      <c r="U38" s="15"/>
      <c r="V38" s="15"/>
      <c r="W38" s="15"/>
      <c r="X38" s="15"/>
      <c r="Y38" s="15"/>
      <c r="Z38" s="15"/>
      <c r="AA38" s="15"/>
    </row>
    <row r="39" spans="1:27" ht="24.95" customHeight="1">
      <c r="A39" s="38"/>
      <c r="B39" s="10">
        <v>35</v>
      </c>
      <c r="C39" s="16" t="s">
        <v>54</v>
      </c>
      <c r="D39" s="26">
        <v>5151</v>
      </c>
      <c r="E39" s="26">
        <v>4883</v>
      </c>
      <c r="F39" s="26">
        <v>5010</v>
      </c>
      <c r="G39" s="12">
        <v>3718</v>
      </c>
      <c r="H39" s="13">
        <f t="shared" si="0"/>
        <v>268</v>
      </c>
      <c r="I39" s="13">
        <f t="shared" si="1"/>
        <v>141</v>
      </c>
      <c r="J39" s="13">
        <f t="shared" si="2"/>
        <v>1433</v>
      </c>
      <c r="K39" s="22">
        <v>3931</v>
      </c>
      <c r="L39" s="8"/>
      <c r="M39" s="8"/>
      <c r="N39" s="8"/>
      <c r="O39" s="8"/>
      <c r="P39" s="8"/>
      <c r="Q39" s="8"/>
      <c r="R39" s="8"/>
      <c r="S39" s="8"/>
      <c r="T39" s="15"/>
      <c r="U39" s="15"/>
      <c r="V39" s="15"/>
      <c r="W39" s="15"/>
      <c r="X39" s="15"/>
      <c r="Y39" s="15"/>
      <c r="Z39" s="15"/>
      <c r="AA39" s="15"/>
    </row>
    <row r="40" spans="1:27" ht="24.95" customHeight="1">
      <c r="A40" s="38"/>
      <c r="B40" s="10">
        <v>36</v>
      </c>
      <c r="C40" s="16" t="s">
        <v>55</v>
      </c>
      <c r="D40" s="26">
        <v>12636</v>
      </c>
      <c r="E40" s="26">
        <v>11727</v>
      </c>
      <c r="F40" s="26">
        <v>12097</v>
      </c>
      <c r="G40" s="12">
        <v>10872</v>
      </c>
      <c r="H40" s="13">
        <f t="shared" si="0"/>
        <v>909</v>
      </c>
      <c r="I40" s="13">
        <f t="shared" si="1"/>
        <v>539</v>
      </c>
      <c r="J40" s="13">
        <f t="shared" si="2"/>
        <v>1764</v>
      </c>
      <c r="K40" s="22">
        <v>11386</v>
      </c>
      <c r="L40" s="8"/>
      <c r="M40" s="8"/>
      <c r="N40" s="8"/>
      <c r="O40" s="8"/>
      <c r="P40" s="8"/>
      <c r="Q40" s="8"/>
      <c r="R40" s="8"/>
      <c r="S40" s="8"/>
      <c r="T40" s="15"/>
      <c r="U40" s="15"/>
      <c r="V40" s="15"/>
      <c r="W40" s="15"/>
      <c r="X40" s="15"/>
      <c r="Y40" s="15"/>
      <c r="Z40" s="15"/>
      <c r="AA40" s="15"/>
    </row>
    <row r="41" spans="1:27" ht="24.95" customHeight="1">
      <c r="A41" s="37"/>
      <c r="B41" s="10">
        <v>37</v>
      </c>
      <c r="C41" s="16" t="s">
        <v>56</v>
      </c>
      <c r="D41" s="26">
        <v>14785</v>
      </c>
      <c r="E41" s="26">
        <v>14298</v>
      </c>
      <c r="F41" s="26">
        <v>14479</v>
      </c>
      <c r="G41" s="12">
        <v>13514</v>
      </c>
      <c r="H41" s="13">
        <f t="shared" si="0"/>
        <v>487</v>
      </c>
      <c r="I41" s="13">
        <f t="shared" si="1"/>
        <v>306</v>
      </c>
      <c r="J41" s="13">
        <f t="shared" si="2"/>
        <v>1271</v>
      </c>
      <c r="K41" s="17">
        <v>10710</v>
      </c>
      <c r="L41" s="8"/>
      <c r="M41" s="8"/>
      <c r="N41" s="8"/>
      <c r="O41" s="8"/>
      <c r="P41" s="8"/>
      <c r="Q41" s="8"/>
      <c r="R41" s="8"/>
      <c r="S41" s="8"/>
      <c r="T41" s="15"/>
      <c r="U41" s="15"/>
      <c r="V41" s="15"/>
      <c r="W41" s="15"/>
      <c r="X41" s="15"/>
      <c r="Y41" s="15"/>
      <c r="Z41" s="15"/>
      <c r="AA41" s="15"/>
    </row>
    <row r="42" spans="1:27" ht="24.95" customHeight="1">
      <c r="A42" s="36" t="s">
        <v>57</v>
      </c>
      <c r="B42" s="10">
        <v>38</v>
      </c>
      <c r="C42" s="16" t="s">
        <v>58</v>
      </c>
      <c r="D42" s="26">
        <v>3287</v>
      </c>
      <c r="E42" s="26">
        <v>3254</v>
      </c>
      <c r="F42" s="26">
        <v>3249</v>
      </c>
      <c r="G42" s="12">
        <v>2767</v>
      </c>
      <c r="H42" s="13">
        <f t="shared" si="0"/>
        <v>33</v>
      </c>
      <c r="I42" s="13">
        <f t="shared" si="1"/>
        <v>38</v>
      </c>
      <c r="J42" s="13">
        <f t="shared" si="2"/>
        <v>520</v>
      </c>
      <c r="K42" s="17">
        <v>2957</v>
      </c>
      <c r="L42" s="8"/>
      <c r="M42" s="8"/>
      <c r="N42" s="8"/>
      <c r="O42" s="8"/>
      <c r="P42" s="8"/>
      <c r="Q42" s="8"/>
      <c r="R42" s="8"/>
      <c r="S42" s="8"/>
      <c r="T42" s="15"/>
      <c r="U42" s="15"/>
      <c r="V42" s="15"/>
      <c r="W42" s="15"/>
      <c r="X42" s="15"/>
      <c r="Y42" s="15"/>
      <c r="Z42" s="15"/>
      <c r="AA42" s="15"/>
    </row>
    <row r="43" spans="1:27" ht="24.95" customHeight="1">
      <c r="A43" s="38"/>
      <c r="B43" s="10">
        <v>39</v>
      </c>
      <c r="C43" s="16" t="s">
        <v>59</v>
      </c>
      <c r="D43" s="26">
        <v>2318</v>
      </c>
      <c r="E43" s="26">
        <v>2239</v>
      </c>
      <c r="F43" s="26">
        <v>2247</v>
      </c>
      <c r="G43" s="12">
        <v>2170</v>
      </c>
      <c r="H43" s="13">
        <f t="shared" si="0"/>
        <v>79</v>
      </c>
      <c r="I43" s="13">
        <f t="shared" si="1"/>
        <v>71</v>
      </c>
      <c r="J43" s="13">
        <f t="shared" si="2"/>
        <v>148</v>
      </c>
      <c r="K43" s="17">
        <v>2629</v>
      </c>
      <c r="L43" s="8"/>
      <c r="M43" s="8"/>
      <c r="N43" s="8"/>
      <c r="O43" s="8"/>
      <c r="P43" s="8"/>
      <c r="Q43" s="8"/>
      <c r="R43" s="8"/>
      <c r="S43" s="8"/>
      <c r="T43" s="15"/>
      <c r="U43" s="15"/>
      <c r="V43" s="15"/>
      <c r="W43" s="15"/>
      <c r="X43" s="15"/>
      <c r="Y43" s="15"/>
      <c r="Z43" s="15"/>
      <c r="AA43" s="15"/>
    </row>
    <row r="44" spans="1:27" ht="24.95" customHeight="1">
      <c r="A44" s="38"/>
      <c r="B44" s="10">
        <v>40</v>
      </c>
      <c r="C44" s="16" t="s">
        <v>60</v>
      </c>
      <c r="D44" s="26">
        <v>6921</v>
      </c>
      <c r="E44" s="26">
        <v>6779</v>
      </c>
      <c r="F44" s="26">
        <v>6820</v>
      </c>
      <c r="G44" s="12">
        <v>6086</v>
      </c>
      <c r="H44" s="13">
        <f t="shared" si="0"/>
        <v>142</v>
      </c>
      <c r="I44" s="13">
        <f t="shared" si="1"/>
        <v>101</v>
      </c>
      <c r="J44" s="13">
        <f t="shared" si="2"/>
        <v>835</v>
      </c>
      <c r="K44" s="17">
        <v>4201</v>
      </c>
      <c r="L44" s="8"/>
      <c r="M44" s="8"/>
      <c r="N44" s="8"/>
      <c r="O44" s="8"/>
      <c r="P44" s="8"/>
      <c r="Q44" s="8"/>
      <c r="R44" s="8"/>
      <c r="S44" s="8"/>
      <c r="T44" s="15"/>
      <c r="U44" s="15"/>
      <c r="V44" s="15"/>
      <c r="W44" s="15"/>
      <c r="X44" s="15"/>
      <c r="Y44" s="15"/>
      <c r="Z44" s="15"/>
      <c r="AA44" s="15"/>
    </row>
    <row r="45" spans="1:27" ht="24.95" customHeight="1">
      <c r="A45" s="38"/>
      <c r="B45" s="10">
        <v>41</v>
      </c>
      <c r="C45" s="16" t="s">
        <v>61</v>
      </c>
      <c r="D45" s="26">
        <v>7850</v>
      </c>
      <c r="E45" s="26">
        <v>7531</v>
      </c>
      <c r="F45" s="26">
        <v>7716</v>
      </c>
      <c r="G45" s="12">
        <v>7116</v>
      </c>
      <c r="H45" s="13">
        <f t="shared" si="0"/>
        <v>319</v>
      </c>
      <c r="I45" s="13">
        <f t="shared" si="1"/>
        <v>134</v>
      </c>
      <c r="J45" s="13">
        <f t="shared" si="2"/>
        <v>734</v>
      </c>
      <c r="K45" s="17">
        <v>5333</v>
      </c>
      <c r="L45" s="8"/>
      <c r="M45" s="8"/>
      <c r="N45" s="8"/>
      <c r="O45" s="8"/>
      <c r="P45" s="8"/>
      <c r="Q45" s="8"/>
      <c r="R45" s="8"/>
      <c r="S45" s="8"/>
      <c r="T45" s="15"/>
      <c r="U45" s="15"/>
      <c r="V45" s="15"/>
      <c r="W45" s="15"/>
      <c r="X45" s="15"/>
      <c r="Y45" s="15"/>
      <c r="Z45" s="15"/>
      <c r="AA45" s="15"/>
    </row>
    <row r="46" spans="1:27" ht="24.95" customHeight="1">
      <c r="A46" s="38"/>
      <c r="B46" s="10">
        <v>42</v>
      </c>
      <c r="C46" s="16" t="s">
        <v>62</v>
      </c>
      <c r="D46" s="26">
        <v>28286</v>
      </c>
      <c r="E46" s="26">
        <v>28085</v>
      </c>
      <c r="F46" s="26">
        <v>28126</v>
      </c>
      <c r="G46" s="12">
        <v>27715</v>
      </c>
      <c r="H46" s="13">
        <f t="shared" si="0"/>
        <v>201</v>
      </c>
      <c r="I46" s="13">
        <f t="shared" si="1"/>
        <v>160</v>
      </c>
      <c r="J46" s="13">
        <f t="shared" si="2"/>
        <v>571</v>
      </c>
      <c r="K46" s="17">
        <v>6572</v>
      </c>
      <c r="L46" s="8"/>
      <c r="M46" s="8"/>
      <c r="N46" s="8"/>
      <c r="O46" s="8"/>
      <c r="P46" s="8"/>
      <c r="Q46" s="8"/>
      <c r="R46" s="8"/>
      <c r="S46" s="8"/>
      <c r="T46" s="15"/>
      <c r="U46" s="15"/>
      <c r="V46" s="15"/>
      <c r="W46" s="15"/>
      <c r="X46" s="15"/>
      <c r="Y46" s="15"/>
      <c r="Z46" s="15"/>
      <c r="AA46" s="15"/>
    </row>
    <row r="47" spans="1:27" ht="24.95" customHeight="1">
      <c r="A47" s="38"/>
      <c r="B47" s="10">
        <v>43</v>
      </c>
      <c r="C47" s="16" t="s">
        <v>63</v>
      </c>
      <c r="D47" s="26">
        <v>14394</v>
      </c>
      <c r="E47" s="26">
        <v>14120</v>
      </c>
      <c r="F47" s="26">
        <v>14138</v>
      </c>
      <c r="G47" s="12">
        <v>13243</v>
      </c>
      <c r="H47" s="13">
        <f t="shared" si="0"/>
        <v>274</v>
      </c>
      <c r="I47" s="13">
        <f t="shared" si="1"/>
        <v>256</v>
      </c>
      <c r="J47" s="13">
        <f t="shared" si="2"/>
        <v>1151</v>
      </c>
      <c r="K47" s="17">
        <v>4350</v>
      </c>
      <c r="L47" s="8"/>
      <c r="M47" s="8"/>
      <c r="N47" s="8"/>
      <c r="O47" s="8"/>
      <c r="P47" s="8"/>
      <c r="Q47" s="8"/>
      <c r="R47" s="8"/>
      <c r="S47" s="8"/>
      <c r="T47" s="15"/>
      <c r="U47" s="15"/>
      <c r="V47" s="15"/>
      <c r="W47" s="15"/>
      <c r="X47" s="15"/>
      <c r="Y47" s="15"/>
      <c r="Z47" s="15"/>
      <c r="AA47" s="15"/>
    </row>
    <row r="48" spans="1:27" ht="24.95" customHeight="1">
      <c r="A48" s="37"/>
      <c r="B48" s="10">
        <v>44</v>
      </c>
      <c r="C48" s="16" t="s">
        <v>64</v>
      </c>
      <c r="D48" s="26">
        <v>1997</v>
      </c>
      <c r="E48" s="26">
        <v>1969</v>
      </c>
      <c r="F48" s="26">
        <v>1971</v>
      </c>
      <c r="G48" s="12">
        <v>1788</v>
      </c>
      <c r="H48" s="13">
        <f t="shared" si="0"/>
        <v>28</v>
      </c>
      <c r="I48" s="13">
        <f t="shared" si="1"/>
        <v>26</v>
      </c>
      <c r="J48" s="13">
        <f t="shared" si="2"/>
        <v>209</v>
      </c>
      <c r="K48" s="17">
        <v>1549</v>
      </c>
      <c r="L48" s="8"/>
      <c r="M48" s="8"/>
      <c r="N48" s="8"/>
      <c r="O48" s="8"/>
      <c r="P48" s="8"/>
      <c r="Q48" s="8"/>
      <c r="R48" s="8"/>
      <c r="S48" s="8"/>
      <c r="T48" s="15"/>
      <c r="U48" s="15"/>
      <c r="V48" s="15"/>
      <c r="W48" s="15"/>
      <c r="X48" s="15"/>
      <c r="Y48" s="15"/>
      <c r="Z48" s="15"/>
      <c r="AA48" s="15"/>
    </row>
    <row r="49" spans="1:27" ht="24.95" customHeight="1">
      <c r="A49" s="36" t="s">
        <v>65</v>
      </c>
      <c r="B49" s="10">
        <v>45</v>
      </c>
      <c r="C49" s="16" t="s">
        <v>66</v>
      </c>
      <c r="D49" s="26">
        <v>2859</v>
      </c>
      <c r="E49" s="26">
        <v>2789</v>
      </c>
      <c r="F49" s="26">
        <v>2796</v>
      </c>
      <c r="G49" s="26">
        <v>2435</v>
      </c>
      <c r="H49" s="13">
        <f t="shared" si="0"/>
        <v>70</v>
      </c>
      <c r="I49" s="13">
        <f t="shared" si="1"/>
        <v>63</v>
      </c>
      <c r="J49" s="13">
        <f t="shared" si="2"/>
        <v>424</v>
      </c>
      <c r="K49" s="17">
        <v>1999</v>
      </c>
      <c r="L49" s="8"/>
      <c r="M49" s="8"/>
      <c r="N49" s="8"/>
      <c r="O49" s="8"/>
      <c r="P49" s="8"/>
      <c r="Q49" s="8"/>
      <c r="R49" s="8"/>
      <c r="S49" s="8"/>
      <c r="T49" s="15"/>
      <c r="U49" s="15"/>
      <c r="V49" s="15"/>
      <c r="W49" s="15"/>
      <c r="X49" s="15"/>
      <c r="Y49" s="15"/>
      <c r="Z49" s="15"/>
      <c r="AA49" s="15"/>
    </row>
    <row r="50" spans="1:27" ht="24.95" customHeight="1">
      <c r="A50" s="38"/>
      <c r="B50" s="10">
        <v>46</v>
      </c>
      <c r="C50" s="27" t="s">
        <v>67</v>
      </c>
      <c r="D50" s="26">
        <v>6426</v>
      </c>
      <c r="E50" s="26">
        <v>6130</v>
      </c>
      <c r="F50" s="26">
        <v>6279</v>
      </c>
      <c r="G50" s="26">
        <v>5109</v>
      </c>
      <c r="H50" s="13">
        <f t="shared" si="0"/>
        <v>296</v>
      </c>
      <c r="I50" s="13">
        <f t="shared" si="1"/>
        <v>147</v>
      </c>
      <c r="J50" s="13">
        <f t="shared" si="2"/>
        <v>1317</v>
      </c>
      <c r="K50" s="28">
        <v>2690</v>
      </c>
      <c r="L50" s="8"/>
      <c r="M50" s="8"/>
      <c r="N50" s="8"/>
      <c r="O50" s="8"/>
      <c r="P50" s="8"/>
      <c r="Q50" s="8"/>
      <c r="R50" s="8"/>
      <c r="S50" s="8"/>
      <c r="T50" s="15"/>
      <c r="U50" s="15"/>
      <c r="V50" s="15"/>
      <c r="W50" s="15"/>
      <c r="X50" s="15"/>
      <c r="Y50" s="15"/>
      <c r="Z50" s="15"/>
      <c r="AA50" s="15"/>
    </row>
    <row r="51" spans="1:27" ht="24.95" customHeight="1">
      <c r="A51" s="37"/>
      <c r="B51" s="10">
        <v>47</v>
      </c>
      <c r="C51" s="16" t="s">
        <v>68</v>
      </c>
      <c r="D51" s="26">
        <v>7718</v>
      </c>
      <c r="E51" s="26">
        <v>7291</v>
      </c>
      <c r="F51" s="26">
        <v>7530</v>
      </c>
      <c r="G51" s="26">
        <v>6886</v>
      </c>
      <c r="H51" s="13">
        <f t="shared" si="0"/>
        <v>427</v>
      </c>
      <c r="I51" s="13">
        <f t="shared" si="1"/>
        <v>188</v>
      </c>
      <c r="J51" s="13">
        <f t="shared" si="2"/>
        <v>832</v>
      </c>
      <c r="K51" s="17">
        <v>3615</v>
      </c>
      <c r="L51" s="8"/>
      <c r="M51" s="8"/>
      <c r="N51" s="8"/>
      <c r="O51" s="8"/>
      <c r="P51" s="8"/>
      <c r="Q51" s="8"/>
      <c r="R51" s="8"/>
      <c r="S51" s="8"/>
      <c r="T51" s="15"/>
      <c r="U51" s="15"/>
      <c r="V51" s="15"/>
      <c r="W51" s="15"/>
      <c r="X51" s="15"/>
      <c r="Y51" s="15"/>
      <c r="Z51" s="15"/>
      <c r="AA51" s="15"/>
    </row>
    <row r="52" spans="1:27" ht="24.95" customHeight="1">
      <c r="A52" s="29" t="s">
        <v>69</v>
      </c>
      <c r="B52" s="10">
        <v>48</v>
      </c>
      <c r="C52" s="16" t="s">
        <v>70</v>
      </c>
      <c r="D52" s="26">
        <v>5311</v>
      </c>
      <c r="E52" s="26">
        <v>4536</v>
      </c>
      <c r="F52" s="26">
        <v>5221</v>
      </c>
      <c r="G52" s="26">
        <v>3348</v>
      </c>
      <c r="H52" s="13">
        <f t="shared" si="0"/>
        <v>775</v>
      </c>
      <c r="I52" s="13">
        <f t="shared" si="1"/>
        <v>90</v>
      </c>
      <c r="J52" s="13">
        <f t="shared" si="2"/>
        <v>1963</v>
      </c>
      <c r="K52" s="17">
        <v>5573</v>
      </c>
      <c r="L52" s="8"/>
      <c r="M52" s="8"/>
      <c r="N52" s="8"/>
      <c r="O52" s="8"/>
      <c r="P52" s="8"/>
      <c r="Q52" s="8"/>
      <c r="R52" s="8"/>
      <c r="S52" s="8"/>
      <c r="T52" s="15"/>
      <c r="U52" s="15"/>
      <c r="V52" s="15"/>
      <c r="W52" s="15"/>
      <c r="X52" s="15"/>
      <c r="Y52" s="15"/>
      <c r="Z52" s="15"/>
      <c r="AA52" s="15"/>
    </row>
    <row r="53" spans="1:27" ht="24.95" customHeight="1">
      <c r="A53" s="29" t="s">
        <v>71</v>
      </c>
      <c r="B53" s="10">
        <v>49</v>
      </c>
      <c r="C53" s="16" t="s">
        <v>72</v>
      </c>
      <c r="D53" s="26">
        <v>13122</v>
      </c>
      <c r="E53" s="26">
        <v>12477</v>
      </c>
      <c r="F53" s="26">
        <v>12834</v>
      </c>
      <c r="G53" s="26">
        <v>11750</v>
      </c>
      <c r="H53" s="13">
        <f t="shared" si="0"/>
        <v>645</v>
      </c>
      <c r="I53" s="13">
        <f t="shared" si="1"/>
        <v>288</v>
      </c>
      <c r="J53" s="13">
        <f t="shared" si="2"/>
        <v>1372</v>
      </c>
      <c r="K53" s="17">
        <v>5842</v>
      </c>
      <c r="L53" s="8"/>
      <c r="M53" s="8"/>
      <c r="N53" s="8"/>
      <c r="O53" s="8"/>
      <c r="P53" s="8"/>
      <c r="Q53" s="8"/>
      <c r="R53" s="8"/>
      <c r="S53" s="8"/>
      <c r="T53" s="15"/>
      <c r="U53" s="15"/>
      <c r="V53" s="15"/>
      <c r="W53" s="15"/>
      <c r="X53" s="15"/>
      <c r="Y53" s="15"/>
      <c r="Z53" s="15"/>
      <c r="AA53" s="15"/>
    </row>
    <row r="54" spans="1:27" ht="24.95" customHeight="1">
      <c r="A54" s="36" t="s">
        <v>73</v>
      </c>
      <c r="B54" s="10">
        <v>50</v>
      </c>
      <c r="C54" s="16" t="s">
        <v>74</v>
      </c>
      <c r="D54" s="26">
        <v>1381</v>
      </c>
      <c r="E54" s="26">
        <v>1308</v>
      </c>
      <c r="F54" s="26">
        <v>1345</v>
      </c>
      <c r="G54" s="26">
        <v>1186</v>
      </c>
      <c r="H54" s="13">
        <f t="shared" si="0"/>
        <v>73</v>
      </c>
      <c r="I54" s="13">
        <f t="shared" si="1"/>
        <v>36</v>
      </c>
      <c r="J54" s="13">
        <f t="shared" si="2"/>
        <v>195</v>
      </c>
      <c r="K54" s="17">
        <v>1699</v>
      </c>
      <c r="L54" s="8"/>
      <c r="M54" s="8"/>
      <c r="N54" s="8"/>
      <c r="O54" s="8"/>
      <c r="P54" s="8"/>
      <c r="Q54" s="8"/>
      <c r="R54" s="8"/>
      <c r="S54" s="8"/>
      <c r="T54" s="15"/>
      <c r="U54" s="15"/>
      <c r="V54" s="15"/>
      <c r="W54" s="15"/>
      <c r="X54" s="15"/>
      <c r="Y54" s="15"/>
      <c r="Z54" s="15"/>
      <c r="AA54" s="15"/>
    </row>
    <row r="55" spans="1:27" ht="24.95" customHeight="1">
      <c r="A55" s="38"/>
      <c r="B55" s="10">
        <v>51</v>
      </c>
      <c r="C55" s="16" t="s">
        <v>75</v>
      </c>
      <c r="D55" s="26">
        <v>3531</v>
      </c>
      <c r="E55" s="26">
        <v>3494</v>
      </c>
      <c r="F55" s="26">
        <v>3507</v>
      </c>
      <c r="G55" s="26">
        <v>3448</v>
      </c>
      <c r="H55" s="13">
        <f t="shared" si="0"/>
        <v>37</v>
      </c>
      <c r="I55" s="13">
        <f t="shared" si="1"/>
        <v>24</v>
      </c>
      <c r="J55" s="13">
        <f t="shared" si="2"/>
        <v>83</v>
      </c>
      <c r="K55" s="30">
        <v>2313</v>
      </c>
      <c r="L55" s="8"/>
      <c r="M55" s="8"/>
      <c r="N55" s="8"/>
      <c r="O55" s="8"/>
      <c r="P55" s="8"/>
      <c r="Q55" s="8"/>
      <c r="R55" s="8"/>
      <c r="S55" s="8"/>
      <c r="T55" s="15"/>
      <c r="U55" s="15"/>
      <c r="V55" s="15"/>
      <c r="W55" s="15"/>
      <c r="X55" s="15"/>
      <c r="Y55" s="15"/>
      <c r="Z55" s="15"/>
      <c r="AA55" s="15"/>
    </row>
    <row r="56" spans="1:27" ht="24.95" customHeight="1">
      <c r="A56" s="38"/>
      <c r="B56" s="10">
        <v>52</v>
      </c>
      <c r="C56" s="16" t="s">
        <v>76</v>
      </c>
      <c r="D56" s="26">
        <v>3895</v>
      </c>
      <c r="E56" s="26">
        <v>3862</v>
      </c>
      <c r="F56" s="26">
        <v>3861</v>
      </c>
      <c r="G56" s="26">
        <v>3748</v>
      </c>
      <c r="H56" s="13">
        <f t="shared" si="0"/>
        <v>33</v>
      </c>
      <c r="I56" s="13">
        <f t="shared" si="1"/>
        <v>34</v>
      </c>
      <c r="J56" s="13">
        <f t="shared" si="2"/>
        <v>147</v>
      </c>
      <c r="K56" s="17">
        <v>3053</v>
      </c>
      <c r="L56" s="8"/>
      <c r="M56" s="8"/>
      <c r="N56" s="8"/>
      <c r="O56" s="8"/>
      <c r="P56" s="8"/>
      <c r="Q56" s="8"/>
      <c r="R56" s="8"/>
      <c r="S56" s="8"/>
      <c r="T56" s="15"/>
      <c r="U56" s="15"/>
      <c r="V56" s="15"/>
      <c r="W56" s="15"/>
      <c r="X56" s="15"/>
      <c r="Y56" s="15"/>
      <c r="Z56" s="15"/>
      <c r="AA56" s="15"/>
    </row>
    <row r="57" spans="1:27" ht="24.95" customHeight="1">
      <c r="A57" s="38"/>
      <c r="B57" s="10">
        <v>53</v>
      </c>
      <c r="C57" s="16" t="s">
        <v>77</v>
      </c>
      <c r="D57" s="26">
        <v>5121</v>
      </c>
      <c r="E57" s="26">
        <v>4891</v>
      </c>
      <c r="F57" s="26">
        <v>5069</v>
      </c>
      <c r="G57" s="26">
        <v>4805</v>
      </c>
      <c r="H57" s="13">
        <f t="shared" si="0"/>
        <v>230</v>
      </c>
      <c r="I57" s="13">
        <f t="shared" si="1"/>
        <v>52</v>
      </c>
      <c r="J57" s="13">
        <f t="shared" si="2"/>
        <v>316</v>
      </c>
      <c r="K57" s="17">
        <v>3353</v>
      </c>
      <c r="L57" s="8"/>
      <c r="M57" s="8"/>
      <c r="N57" s="8"/>
      <c r="O57" s="8"/>
      <c r="P57" s="8"/>
      <c r="Q57" s="8"/>
      <c r="R57" s="8"/>
      <c r="S57" s="8"/>
      <c r="T57" s="15"/>
      <c r="U57" s="15"/>
      <c r="V57" s="15"/>
      <c r="W57" s="15"/>
      <c r="X57" s="15"/>
      <c r="Y57" s="15"/>
      <c r="Z57" s="15"/>
      <c r="AA57" s="15"/>
    </row>
    <row r="58" spans="1:27" ht="24.95" customHeight="1">
      <c r="A58" s="38"/>
      <c r="B58" s="10">
        <v>54</v>
      </c>
      <c r="C58" s="16" t="s">
        <v>78</v>
      </c>
      <c r="D58" s="26">
        <v>4712</v>
      </c>
      <c r="E58" s="26">
        <v>4599</v>
      </c>
      <c r="F58" s="26">
        <v>4689</v>
      </c>
      <c r="G58" s="26">
        <v>4566</v>
      </c>
      <c r="H58" s="13">
        <f t="shared" si="0"/>
        <v>113</v>
      </c>
      <c r="I58" s="13">
        <f t="shared" si="1"/>
        <v>23</v>
      </c>
      <c r="J58" s="13">
        <f t="shared" si="2"/>
        <v>146</v>
      </c>
      <c r="K58" s="17">
        <v>4115</v>
      </c>
      <c r="L58" s="8"/>
      <c r="M58" s="8"/>
      <c r="N58" s="8"/>
      <c r="O58" s="8"/>
      <c r="P58" s="8"/>
      <c r="Q58" s="8"/>
      <c r="R58" s="8"/>
      <c r="S58" s="8"/>
      <c r="T58" s="15"/>
      <c r="U58" s="15"/>
      <c r="V58" s="15"/>
      <c r="W58" s="15"/>
      <c r="X58" s="15"/>
      <c r="Y58" s="15"/>
      <c r="Z58" s="15"/>
      <c r="AA58" s="15"/>
    </row>
    <row r="59" spans="1:27" ht="24.95" customHeight="1">
      <c r="A59" s="38"/>
      <c r="B59" s="10">
        <v>55</v>
      </c>
      <c r="C59" s="16" t="s">
        <v>79</v>
      </c>
      <c r="D59" s="26">
        <v>85356</v>
      </c>
      <c r="E59" s="26">
        <v>83079</v>
      </c>
      <c r="F59" s="26">
        <v>84728</v>
      </c>
      <c r="G59" s="26">
        <v>84315</v>
      </c>
      <c r="H59" s="13">
        <f t="shared" si="0"/>
        <v>2277</v>
      </c>
      <c r="I59" s="13">
        <f t="shared" si="1"/>
        <v>628</v>
      </c>
      <c r="J59" s="13">
        <f t="shared" si="2"/>
        <v>1041</v>
      </c>
      <c r="K59" s="17">
        <v>28967</v>
      </c>
      <c r="L59" s="8"/>
      <c r="M59" s="8"/>
      <c r="N59" s="8"/>
      <c r="O59" s="8"/>
      <c r="P59" s="8"/>
      <c r="Q59" s="8"/>
      <c r="R59" s="8"/>
      <c r="S59" s="8"/>
      <c r="T59" s="15"/>
      <c r="U59" s="15"/>
      <c r="V59" s="15"/>
      <c r="W59" s="15"/>
      <c r="X59" s="15"/>
      <c r="Y59" s="15"/>
      <c r="Z59" s="15"/>
      <c r="AA59" s="15"/>
    </row>
    <row r="60" spans="1:27" ht="24.95" customHeight="1">
      <c r="A60" s="38"/>
      <c r="B60" s="10">
        <v>56</v>
      </c>
      <c r="C60" s="16" t="s">
        <v>80</v>
      </c>
      <c r="D60" s="26">
        <v>4407</v>
      </c>
      <c r="E60" s="26">
        <v>4353</v>
      </c>
      <c r="F60" s="26">
        <v>4371</v>
      </c>
      <c r="G60" s="26">
        <v>4349</v>
      </c>
      <c r="H60" s="13">
        <f t="shared" si="0"/>
        <v>54</v>
      </c>
      <c r="I60" s="13">
        <f t="shared" si="1"/>
        <v>36</v>
      </c>
      <c r="J60" s="13">
        <f t="shared" si="2"/>
        <v>58</v>
      </c>
      <c r="K60" s="17">
        <v>3200</v>
      </c>
      <c r="L60" s="8"/>
      <c r="M60" s="8"/>
      <c r="N60" s="8"/>
      <c r="O60" s="8"/>
      <c r="P60" s="8"/>
      <c r="Q60" s="8"/>
      <c r="R60" s="8"/>
      <c r="S60" s="8"/>
      <c r="T60" s="15"/>
      <c r="U60" s="15"/>
      <c r="V60" s="15"/>
      <c r="W60" s="15"/>
      <c r="X60" s="15"/>
      <c r="Y60" s="15"/>
      <c r="Z60" s="15"/>
      <c r="AA60" s="15"/>
    </row>
    <row r="61" spans="1:27" ht="24.95" customHeight="1">
      <c r="A61" s="37"/>
      <c r="B61" s="10">
        <v>57</v>
      </c>
      <c r="C61" s="27" t="s">
        <v>81</v>
      </c>
      <c r="D61" s="26">
        <v>7414</v>
      </c>
      <c r="E61" s="26">
        <v>6958</v>
      </c>
      <c r="F61" s="26">
        <v>7234</v>
      </c>
      <c r="G61" s="26">
        <v>6663</v>
      </c>
      <c r="H61" s="13">
        <f t="shared" si="0"/>
        <v>456</v>
      </c>
      <c r="I61" s="13">
        <f t="shared" si="1"/>
        <v>180</v>
      </c>
      <c r="J61" s="13">
        <f t="shared" si="2"/>
        <v>751</v>
      </c>
      <c r="K61" s="28">
        <v>4746</v>
      </c>
      <c r="L61" s="8"/>
      <c r="M61" s="8"/>
      <c r="N61" s="8"/>
      <c r="O61" s="8"/>
      <c r="P61" s="8"/>
      <c r="Q61" s="8"/>
      <c r="R61" s="8"/>
      <c r="S61" s="8"/>
      <c r="T61" s="15"/>
      <c r="U61" s="15"/>
      <c r="V61" s="15"/>
      <c r="W61" s="15"/>
      <c r="X61" s="15"/>
      <c r="Y61" s="15"/>
      <c r="Z61" s="15"/>
      <c r="AA61" s="15"/>
    </row>
    <row r="62" spans="1:27" ht="24.95" customHeight="1">
      <c r="A62" s="36" t="s">
        <v>82</v>
      </c>
      <c r="B62" s="10">
        <v>58</v>
      </c>
      <c r="C62" s="16" t="s">
        <v>83</v>
      </c>
      <c r="D62" s="26">
        <v>3370</v>
      </c>
      <c r="E62" s="26">
        <v>2443</v>
      </c>
      <c r="F62" s="26">
        <v>3268</v>
      </c>
      <c r="G62" s="26">
        <v>2212</v>
      </c>
      <c r="H62" s="13">
        <f t="shared" si="0"/>
        <v>927</v>
      </c>
      <c r="I62" s="13">
        <f t="shared" si="1"/>
        <v>102</v>
      </c>
      <c r="J62" s="13">
        <f t="shared" si="2"/>
        <v>1158</v>
      </c>
      <c r="K62" s="17">
        <v>7625</v>
      </c>
      <c r="L62" s="8"/>
      <c r="M62" s="8"/>
      <c r="N62" s="8"/>
      <c r="O62" s="8"/>
      <c r="P62" s="8"/>
      <c r="Q62" s="8"/>
      <c r="R62" s="8"/>
      <c r="S62" s="8"/>
      <c r="T62" s="15"/>
      <c r="U62" s="15"/>
      <c r="V62" s="15"/>
      <c r="W62" s="15"/>
      <c r="X62" s="15"/>
      <c r="Y62" s="15"/>
      <c r="Z62" s="15"/>
      <c r="AA62" s="15"/>
    </row>
    <row r="63" spans="1:27" ht="24.95" customHeight="1">
      <c r="A63" s="38"/>
      <c r="B63" s="10">
        <v>59</v>
      </c>
      <c r="C63" s="16" t="s">
        <v>84</v>
      </c>
      <c r="D63" s="26">
        <v>4721</v>
      </c>
      <c r="E63" s="26">
        <v>4425</v>
      </c>
      <c r="F63" s="26">
        <v>4634</v>
      </c>
      <c r="G63" s="26">
        <v>3578</v>
      </c>
      <c r="H63" s="13">
        <f t="shared" si="0"/>
        <v>296</v>
      </c>
      <c r="I63" s="13">
        <f t="shared" si="1"/>
        <v>87</v>
      </c>
      <c r="J63" s="13">
        <f t="shared" si="2"/>
        <v>1143</v>
      </c>
      <c r="K63" s="17">
        <v>7783</v>
      </c>
      <c r="L63" s="8"/>
      <c r="M63" s="8"/>
      <c r="N63" s="8"/>
      <c r="O63" s="8"/>
      <c r="P63" s="8"/>
      <c r="Q63" s="8"/>
      <c r="R63" s="8"/>
      <c r="S63" s="8"/>
      <c r="T63" s="15"/>
      <c r="U63" s="15"/>
      <c r="V63" s="15"/>
      <c r="W63" s="15"/>
      <c r="X63" s="15"/>
      <c r="Y63" s="15"/>
      <c r="Z63" s="15"/>
      <c r="AA63" s="15"/>
    </row>
    <row r="64" spans="1:27" ht="24.95" customHeight="1">
      <c r="A64" s="38"/>
      <c r="B64" s="10">
        <v>60</v>
      </c>
      <c r="C64" s="16" t="s">
        <v>85</v>
      </c>
      <c r="D64" s="26">
        <v>5973</v>
      </c>
      <c r="E64" s="26">
        <v>4772</v>
      </c>
      <c r="F64" s="26">
        <v>5849</v>
      </c>
      <c r="G64" s="26">
        <v>2806</v>
      </c>
      <c r="H64" s="13">
        <f t="shared" si="0"/>
        <v>1201</v>
      </c>
      <c r="I64" s="13">
        <f t="shared" si="1"/>
        <v>124</v>
      </c>
      <c r="J64" s="13">
        <f t="shared" si="2"/>
        <v>3167</v>
      </c>
      <c r="K64" s="17">
        <v>7780</v>
      </c>
      <c r="L64" s="8"/>
      <c r="M64" s="8"/>
      <c r="N64" s="8"/>
      <c r="O64" s="8"/>
      <c r="P64" s="8"/>
      <c r="Q64" s="8"/>
      <c r="R64" s="8"/>
      <c r="S64" s="8"/>
      <c r="T64" s="15"/>
      <c r="U64" s="15"/>
      <c r="V64" s="15"/>
      <c r="W64" s="15"/>
      <c r="X64" s="15"/>
      <c r="Y64" s="15"/>
      <c r="Z64" s="15"/>
      <c r="AA64" s="15"/>
    </row>
    <row r="65" spans="1:27" ht="24.95" customHeight="1">
      <c r="A65" s="38"/>
      <c r="B65" s="10">
        <v>61</v>
      </c>
      <c r="C65" s="16" t="s">
        <v>86</v>
      </c>
      <c r="D65" s="26">
        <v>3498</v>
      </c>
      <c r="E65" s="26">
        <v>3180</v>
      </c>
      <c r="F65" s="26">
        <v>3417</v>
      </c>
      <c r="G65" s="26">
        <v>2691</v>
      </c>
      <c r="H65" s="13">
        <f t="shared" si="0"/>
        <v>318</v>
      </c>
      <c r="I65" s="13">
        <f t="shared" si="1"/>
        <v>81</v>
      </c>
      <c r="J65" s="13">
        <f t="shared" si="2"/>
        <v>807</v>
      </c>
      <c r="K65" s="17">
        <v>4301</v>
      </c>
      <c r="L65" s="8"/>
      <c r="M65" s="8"/>
      <c r="N65" s="8"/>
      <c r="O65" s="8"/>
      <c r="P65" s="8"/>
      <c r="Q65" s="8"/>
      <c r="R65" s="8"/>
      <c r="S65" s="8"/>
      <c r="T65" s="15"/>
      <c r="U65" s="15"/>
      <c r="V65" s="15"/>
      <c r="W65" s="15"/>
      <c r="X65" s="15"/>
      <c r="Y65" s="15"/>
      <c r="Z65" s="15"/>
      <c r="AA65" s="15"/>
    </row>
    <row r="66" spans="1:27" ht="24.95" customHeight="1">
      <c r="A66" s="38"/>
      <c r="B66" s="10">
        <v>62</v>
      </c>
      <c r="C66" s="16" t="s">
        <v>87</v>
      </c>
      <c r="D66" s="26">
        <v>3280</v>
      </c>
      <c r="E66" s="26">
        <v>2887</v>
      </c>
      <c r="F66" s="26">
        <v>3114</v>
      </c>
      <c r="G66" s="26">
        <v>2258</v>
      </c>
      <c r="H66" s="13">
        <f t="shared" si="0"/>
        <v>393</v>
      </c>
      <c r="I66" s="13">
        <f t="shared" si="1"/>
        <v>166</v>
      </c>
      <c r="J66" s="13">
        <f t="shared" si="2"/>
        <v>1022</v>
      </c>
      <c r="K66" s="17">
        <v>6046</v>
      </c>
      <c r="L66" s="8"/>
      <c r="M66" s="8"/>
      <c r="N66" s="8"/>
      <c r="O66" s="8"/>
      <c r="P66" s="8"/>
      <c r="Q66" s="8"/>
      <c r="R66" s="8"/>
      <c r="S66" s="8"/>
      <c r="T66" s="15"/>
      <c r="U66" s="15"/>
      <c r="V66" s="15"/>
      <c r="W66" s="15"/>
      <c r="X66" s="15"/>
      <c r="Y66" s="15"/>
      <c r="Z66" s="15"/>
      <c r="AA66" s="15"/>
    </row>
    <row r="67" spans="1:27" ht="24.95" customHeight="1">
      <c r="A67" s="37"/>
      <c r="B67" s="10">
        <v>63</v>
      </c>
      <c r="C67" s="16" t="s">
        <v>88</v>
      </c>
      <c r="D67" s="26">
        <v>15575</v>
      </c>
      <c r="E67" s="26">
        <v>12617</v>
      </c>
      <c r="F67" s="26">
        <v>15252</v>
      </c>
      <c r="G67" s="26">
        <v>10854</v>
      </c>
      <c r="H67" s="13">
        <f t="shared" si="0"/>
        <v>2958</v>
      </c>
      <c r="I67" s="13">
        <f t="shared" si="1"/>
        <v>323</v>
      </c>
      <c r="J67" s="13">
        <f t="shared" si="2"/>
        <v>4721</v>
      </c>
      <c r="K67" s="17">
        <v>18522</v>
      </c>
      <c r="L67" s="8"/>
      <c r="M67" s="8"/>
      <c r="N67" s="8"/>
      <c r="O67" s="8"/>
      <c r="P67" s="8"/>
      <c r="Q67" s="8"/>
      <c r="R67" s="8"/>
      <c r="S67" s="8"/>
      <c r="T67" s="15"/>
      <c r="U67" s="15"/>
      <c r="V67" s="15"/>
      <c r="W67" s="15"/>
      <c r="X67" s="15"/>
      <c r="Y67" s="15"/>
      <c r="Z67" s="15"/>
      <c r="AA67" s="15"/>
    </row>
    <row r="68" spans="1:27" ht="24.95" customHeight="1">
      <c r="A68" s="29" t="s">
        <v>89</v>
      </c>
      <c r="B68" s="10">
        <v>64</v>
      </c>
      <c r="C68" s="31" t="s">
        <v>90</v>
      </c>
      <c r="D68" s="26">
        <v>1161</v>
      </c>
      <c r="E68" s="26">
        <v>1124</v>
      </c>
      <c r="F68" s="26">
        <v>1148</v>
      </c>
      <c r="G68" s="26">
        <v>1075</v>
      </c>
      <c r="H68" s="13">
        <f t="shared" si="0"/>
        <v>37</v>
      </c>
      <c r="I68" s="13">
        <f t="shared" si="1"/>
        <v>13</v>
      </c>
      <c r="J68" s="13">
        <f t="shared" si="2"/>
        <v>86</v>
      </c>
      <c r="K68" s="17">
        <v>1173</v>
      </c>
      <c r="L68" s="8"/>
      <c r="M68" s="8"/>
      <c r="N68" s="8"/>
      <c r="O68" s="8"/>
      <c r="P68" s="8"/>
      <c r="Q68" s="8"/>
      <c r="R68" s="8"/>
      <c r="S68" s="8"/>
      <c r="T68" s="15"/>
      <c r="U68" s="15"/>
      <c r="V68" s="15"/>
      <c r="W68" s="15"/>
      <c r="X68" s="15"/>
      <c r="Y68" s="15"/>
      <c r="Z68" s="15"/>
      <c r="AA68" s="15"/>
    </row>
    <row r="69" spans="1:27" ht="24.95" customHeight="1">
      <c r="A69" s="36" t="s">
        <v>91</v>
      </c>
      <c r="B69" s="10">
        <v>65</v>
      </c>
      <c r="C69" s="16" t="s">
        <v>92</v>
      </c>
      <c r="D69" s="26">
        <v>1157</v>
      </c>
      <c r="E69" s="26">
        <v>1030</v>
      </c>
      <c r="F69" s="26">
        <v>1135</v>
      </c>
      <c r="G69" s="26">
        <v>1063</v>
      </c>
      <c r="H69" s="13">
        <f t="shared" si="0"/>
        <v>127</v>
      </c>
      <c r="I69" s="13">
        <f t="shared" si="1"/>
        <v>22</v>
      </c>
      <c r="J69" s="13">
        <f t="shared" si="2"/>
        <v>94</v>
      </c>
      <c r="K69" s="21">
        <v>460</v>
      </c>
      <c r="L69" s="8"/>
      <c r="M69" s="8"/>
      <c r="N69" s="8"/>
      <c r="O69" s="8"/>
      <c r="P69" s="8"/>
      <c r="Q69" s="8"/>
      <c r="R69" s="8"/>
      <c r="S69" s="8"/>
      <c r="T69" s="15"/>
      <c r="U69" s="15"/>
      <c r="V69" s="15"/>
      <c r="W69" s="15"/>
      <c r="X69" s="15"/>
      <c r="Y69" s="15"/>
      <c r="Z69" s="15"/>
      <c r="AA69" s="15"/>
    </row>
    <row r="70" spans="1:27" ht="24.95" customHeight="1">
      <c r="A70" s="37"/>
      <c r="B70" s="10">
        <v>66</v>
      </c>
      <c r="C70" s="16" t="s">
        <v>93</v>
      </c>
      <c r="D70" s="26">
        <v>482</v>
      </c>
      <c r="E70" s="26">
        <v>454</v>
      </c>
      <c r="F70" s="26">
        <v>473</v>
      </c>
      <c r="G70" s="26">
        <v>461</v>
      </c>
      <c r="H70" s="13">
        <f t="shared" si="0"/>
        <v>28</v>
      </c>
      <c r="I70" s="13">
        <f t="shared" si="1"/>
        <v>9</v>
      </c>
      <c r="J70" s="13">
        <f t="shared" si="2"/>
        <v>21</v>
      </c>
      <c r="K70" s="21">
        <v>176</v>
      </c>
      <c r="L70" s="8"/>
      <c r="M70" s="8"/>
      <c r="N70" s="8"/>
      <c r="O70" s="8"/>
      <c r="P70" s="8"/>
      <c r="Q70" s="8"/>
      <c r="R70" s="8"/>
      <c r="S70" s="8"/>
      <c r="T70" s="15"/>
      <c r="U70" s="15"/>
      <c r="V70" s="15"/>
      <c r="W70" s="15"/>
      <c r="X70" s="15"/>
      <c r="Y70" s="15"/>
      <c r="Z70" s="15"/>
      <c r="AA70" s="15"/>
    </row>
    <row r="71" spans="1:27" ht="24.95" customHeight="1">
      <c r="A71" s="36" t="s">
        <v>94</v>
      </c>
      <c r="B71" s="10">
        <v>67</v>
      </c>
      <c r="C71" s="16" t="s">
        <v>95</v>
      </c>
      <c r="D71" s="26">
        <v>385</v>
      </c>
      <c r="E71" s="26">
        <v>379</v>
      </c>
      <c r="F71" s="26">
        <v>382</v>
      </c>
      <c r="G71" s="26">
        <v>359</v>
      </c>
      <c r="H71" s="13">
        <f t="shared" si="0"/>
        <v>6</v>
      </c>
      <c r="I71" s="13">
        <f t="shared" si="1"/>
        <v>3</v>
      </c>
      <c r="J71" s="13">
        <f t="shared" si="2"/>
        <v>26</v>
      </c>
      <c r="K71" s="21">
        <v>271</v>
      </c>
      <c r="L71" s="8"/>
      <c r="M71" s="8"/>
      <c r="N71" s="8"/>
      <c r="O71" s="8"/>
      <c r="P71" s="8"/>
      <c r="Q71" s="8"/>
      <c r="R71" s="8"/>
      <c r="S71" s="8"/>
      <c r="T71" s="15"/>
      <c r="U71" s="15"/>
      <c r="V71" s="15"/>
      <c r="W71" s="15"/>
      <c r="X71" s="15"/>
      <c r="Y71" s="15"/>
      <c r="Z71" s="15"/>
      <c r="AA71" s="15"/>
    </row>
    <row r="72" spans="1:27" ht="24.95" customHeight="1">
      <c r="A72" s="38"/>
      <c r="B72" s="10">
        <v>68</v>
      </c>
      <c r="C72" s="16" t="s">
        <v>96</v>
      </c>
      <c r="D72" s="26">
        <v>1773</v>
      </c>
      <c r="E72" s="26">
        <v>1708</v>
      </c>
      <c r="F72" s="26">
        <v>1744</v>
      </c>
      <c r="G72" s="26">
        <v>1591</v>
      </c>
      <c r="H72" s="13">
        <f t="shared" si="0"/>
        <v>65</v>
      </c>
      <c r="I72" s="13">
        <f t="shared" si="1"/>
        <v>29</v>
      </c>
      <c r="J72" s="13">
        <f t="shared" si="2"/>
        <v>182</v>
      </c>
      <c r="K72" s="17">
        <v>1000</v>
      </c>
      <c r="L72" s="8"/>
      <c r="M72" s="8"/>
      <c r="N72" s="8"/>
      <c r="O72" s="8"/>
      <c r="P72" s="8"/>
      <c r="Q72" s="8"/>
      <c r="R72" s="8"/>
      <c r="S72" s="8"/>
      <c r="T72" s="15"/>
      <c r="U72" s="15"/>
      <c r="V72" s="15"/>
      <c r="W72" s="15"/>
      <c r="X72" s="15"/>
      <c r="Y72" s="15"/>
      <c r="Z72" s="15"/>
      <c r="AA72" s="15"/>
    </row>
    <row r="73" spans="1:27" ht="24.95" customHeight="1">
      <c r="A73" s="37"/>
      <c r="B73" s="10">
        <v>69</v>
      </c>
      <c r="C73" s="16" t="s">
        <v>97</v>
      </c>
      <c r="D73" s="26">
        <v>256</v>
      </c>
      <c r="E73" s="26">
        <v>252</v>
      </c>
      <c r="F73" s="26">
        <v>252</v>
      </c>
      <c r="G73" s="26">
        <v>234</v>
      </c>
      <c r="H73" s="13">
        <f t="shared" si="0"/>
        <v>4</v>
      </c>
      <c r="I73" s="13">
        <f t="shared" si="1"/>
        <v>4</v>
      </c>
      <c r="J73" s="13">
        <f t="shared" si="2"/>
        <v>22</v>
      </c>
      <c r="K73" s="21">
        <v>170</v>
      </c>
      <c r="L73" s="8"/>
      <c r="M73" s="8"/>
      <c r="N73" s="8"/>
      <c r="O73" s="8"/>
      <c r="P73" s="8"/>
      <c r="Q73" s="8"/>
      <c r="R73" s="8"/>
      <c r="S73" s="8"/>
      <c r="T73" s="15"/>
      <c r="U73" s="15"/>
      <c r="V73" s="15"/>
      <c r="W73" s="15"/>
      <c r="X73" s="15"/>
      <c r="Y73" s="15"/>
      <c r="Z73" s="15"/>
      <c r="AA73" s="15"/>
    </row>
    <row r="74" spans="1:27" ht="24.95" customHeight="1">
      <c r="A74" s="36" t="s">
        <v>98</v>
      </c>
      <c r="B74" s="10">
        <v>70</v>
      </c>
      <c r="C74" s="16" t="s">
        <v>99</v>
      </c>
      <c r="D74" s="26">
        <v>850</v>
      </c>
      <c r="E74" s="26">
        <v>528</v>
      </c>
      <c r="F74" s="26">
        <v>827</v>
      </c>
      <c r="G74" s="26">
        <v>671</v>
      </c>
      <c r="H74" s="13">
        <f t="shared" si="0"/>
        <v>322</v>
      </c>
      <c r="I74" s="13">
        <f t="shared" si="1"/>
        <v>23</v>
      </c>
      <c r="J74" s="13">
        <f t="shared" si="2"/>
        <v>179</v>
      </c>
      <c r="K74" s="21">
        <v>845</v>
      </c>
      <c r="L74" s="8"/>
      <c r="M74" s="8"/>
      <c r="N74" s="8"/>
      <c r="O74" s="8"/>
      <c r="P74" s="8"/>
      <c r="Q74" s="8"/>
      <c r="R74" s="8"/>
      <c r="S74" s="8"/>
      <c r="T74" s="15"/>
      <c r="U74" s="15"/>
      <c r="V74" s="15"/>
      <c r="W74" s="15"/>
      <c r="X74" s="15"/>
      <c r="Y74" s="15"/>
      <c r="Z74" s="15"/>
      <c r="AA74" s="15"/>
    </row>
    <row r="75" spans="1:27" ht="24.95" customHeight="1">
      <c r="A75" s="37"/>
      <c r="B75" s="10">
        <v>71</v>
      </c>
      <c r="C75" s="16" t="s">
        <v>100</v>
      </c>
      <c r="D75" s="26">
        <v>37573</v>
      </c>
      <c r="E75" s="26">
        <v>36345</v>
      </c>
      <c r="F75" s="26">
        <v>37305</v>
      </c>
      <c r="G75" s="26">
        <v>36557</v>
      </c>
      <c r="H75" s="13">
        <f t="shared" si="0"/>
        <v>1228</v>
      </c>
      <c r="I75" s="13">
        <f t="shared" si="1"/>
        <v>268</v>
      </c>
      <c r="J75" s="13">
        <f t="shared" si="2"/>
        <v>1016</v>
      </c>
      <c r="K75" s="17">
        <v>11960</v>
      </c>
      <c r="L75" s="8"/>
      <c r="M75" s="8"/>
      <c r="N75" s="8"/>
      <c r="O75" s="8"/>
      <c r="P75" s="8"/>
      <c r="Q75" s="8"/>
      <c r="R75" s="8"/>
      <c r="S75" s="8"/>
      <c r="T75" s="15"/>
      <c r="U75" s="15"/>
      <c r="V75" s="15"/>
      <c r="W75" s="15"/>
      <c r="X75" s="15"/>
      <c r="Y75" s="15"/>
      <c r="Z75" s="15"/>
      <c r="AA75" s="15"/>
    </row>
    <row r="76" spans="1:27" ht="24.95" customHeight="1">
      <c r="A76" s="36" t="s">
        <v>101</v>
      </c>
      <c r="B76" s="10">
        <v>72</v>
      </c>
      <c r="C76" s="16" t="s">
        <v>102</v>
      </c>
      <c r="D76" s="26">
        <v>31585</v>
      </c>
      <c r="E76" s="26">
        <v>27891</v>
      </c>
      <c r="F76" s="26">
        <v>31247</v>
      </c>
      <c r="G76" s="26">
        <v>30849</v>
      </c>
      <c r="H76" s="13">
        <f t="shared" si="0"/>
        <v>3694</v>
      </c>
      <c r="I76" s="13">
        <f t="shared" si="1"/>
        <v>338</v>
      </c>
      <c r="J76" s="13">
        <f t="shared" si="2"/>
        <v>736</v>
      </c>
      <c r="K76" s="17">
        <v>9218</v>
      </c>
      <c r="L76" s="8"/>
      <c r="M76" s="8"/>
      <c r="N76" s="8"/>
      <c r="O76" s="8"/>
      <c r="P76" s="8"/>
      <c r="Q76" s="8"/>
      <c r="R76" s="8"/>
      <c r="S76" s="8"/>
      <c r="T76" s="15"/>
      <c r="U76" s="15"/>
      <c r="V76" s="15"/>
      <c r="W76" s="15"/>
      <c r="X76" s="15"/>
      <c r="Y76" s="15"/>
      <c r="Z76" s="15"/>
      <c r="AA76" s="15"/>
    </row>
    <row r="77" spans="1:27" ht="24.95" customHeight="1">
      <c r="A77" s="38"/>
      <c r="B77" s="10">
        <v>73</v>
      </c>
      <c r="C77" s="16" t="s">
        <v>103</v>
      </c>
      <c r="D77" s="26">
        <v>477609</v>
      </c>
      <c r="E77" s="26">
        <v>465939</v>
      </c>
      <c r="F77" s="26">
        <v>475608</v>
      </c>
      <c r="G77" s="26">
        <v>472959</v>
      </c>
      <c r="H77" s="13">
        <f t="shared" si="0"/>
        <v>11670</v>
      </c>
      <c r="I77" s="13">
        <f t="shared" si="1"/>
        <v>2001</v>
      </c>
      <c r="J77" s="13">
        <f t="shared" si="2"/>
        <v>4650</v>
      </c>
      <c r="K77" s="17">
        <v>69641</v>
      </c>
      <c r="L77" s="8"/>
      <c r="M77" s="8"/>
      <c r="N77" s="8"/>
      <c r="O77" s="8"/>
      <c r="P77" s="8"/>
      <c r="Q77" s="8"/>
      <c r="R77" s="8"/>
      <c r="S77" s="8"/>
      <c r="T77" s="15"/>
      <c r="U77" s="15"/>
      <c r="V77" s="15"/>
      <c r="W77" s="15"/>
      <c r="X77" s="15"/>
      <c r="Y77" s="15"/>
      <c r="Z77" s="15"/>
      <c r="AA77" s="15"/>
    </row>
    <row r="78" spans="1:27" ht="24.95" customHeight="1">
      <c r="A78" s="37"/>
      <c r="B78" s="10">
        <v>74</v>
      </c>
      <c r="C78" s="16" t="s">
        <v>104</v>
      </c>
      <c r="D78" s="26">
        <v>44808</v>
      </c>
      <c r="E78" s="26">
        <v>42928</v>
      </c>
      <c r="F78" s="26">
        <v>44111</v>
      </c>
      <c r="G78" s="26">
        <v>43925</v>
      </c>
      <c r="H78" s="13">
        <f t="shared" si="0"/>
        <v>1880</v>
      </c>
      <c r="I78" s="13">
        <f t="shared" si="1"/>
        <v>697</v>
      </c>
      <c r="J78" s="13">
        <f t="shared" si="2"/>
        <v>883</v>
      </c>
      <c r="K78" s="17">
        <v>5531</v>
      </c>
      <c r="L78" s="8"/>
      <c r="M78" s="8"/>
      <c r="N78" s="8"/>
      <c r="O78" s="8"/>
      <c r="P78" s="8"/>
      <c r="Q78" s="8"/>
      <c r="R78" s="8"/>
      <c r="S78" s="8"/>
      <c r="T78" s="15"/>
      <c r="U78" s="15"/>
      <c r="V78" s="15"/>
      <c r="W78" s="15"/>
      <c r="X78" s="15"/>
      <c r="Y78" s="15"/>
      <c r="Z78" s="15"/>
      <c r="AA78" s="15"/>
    </row>
    <row r="79" spans="1:27" ht="24.95" customHeight="1">
      <c r="A79" s="36" t="s">
        <v>105</v>
      </c>
      <c r="B79" s="10">
        <v>75</v>
      </c>
      <c r="C79" s="16" t="s">
        <v>106</v>
      </c>
      <c r="D79" s="26">
        <v>4096</v>
      </c>
      <c r="E79" s="26">
        <v>3806</v>
      </c>
      <c r="F79" s="26">
        <v>4048</v>
      </c>
      <c r="G79" s="26">
        <v>4026</v>
      </c>
      <c r="H79" s="13">
        <f t="shared" si="0"/>
        <v>290</v>
      </c>
      <c r="I79" s="13">
        <f t="shared" si="1"/>
        <v>48</v>
      </c>
      <c r="J79" s="13">
        <f t="shared" si="2"/>
        <v>70</v>
      </c>
      <c r="K79" s="17">
        <v>1733</v>
      </c>
      <c r="L79" s="8"/>
      <c r="M79" s="8"/>
      <c r="N79" s="8"/>
      <c r="O79" s="8"/>
      <c r="P79" s="8"/>
      <c r="Q79" s="8"/>
      <c r="R79" s="8"/>
      <c r="S79" s="8"/>
      <c r="T79" s="15"/>
      <c r="U79" s="15"/>
      <c r="V79" s="15"/>
      <c r="W79" s="15"/>
      <c r="X79" s="15"/>
      <c r="Y79" s="15"/>
      <c r="Z79" s="15"/>
      <c r="AA79" s="15"/>
    </row>
    <row r="80" spans="1:27" ht="24.95" customHeight="1">
      <c r="A80" s="37"/>
      <c r="B80" s="10">
        <v>76</v>
      </c>
      <c r="C80" s="16" t="s">
        <v>107</v>
      </c>
      <c r="D80" s="26">
        <v>15226</v>
      </c>
      <c r="E80" s="26">
        <v>13240</v>
      </c>
      <c r="F80" s="26">
        <v>14971</v>
      </c>
      <c r="G80" s="26">
        <v>14429</v>
      </c>
      <c r="H80" s="13">
        <f t="shared" si="0"/>
        <v>1986</v>
      </c>
      <c r="I80" s="13">
        <f t="shared" si="1"/>
        <v>255</v>
      </c>
      <c r="J80" s="13">
        <f t="shared" si="2"/>
        <v>797</v>
      </c>
      <c r="K80" s="17">
        <v>7865</v>
      </c>
      <c r="L80" s="8"/>
      <c r="M80" s="8"/>
      <c r="N80" s="8"/>
      <c r="O80" s="8"/>
      <c r="P80" s="8"/>
      <c r="Q80" s="8"/>
      <c r="R80" s="8"/>
      <c r="S80" s="8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>
      <c r="A81" s="32"/>
      <c r="B81" s="15"/>
      <c r="C81" s="33"/>
      <c r="D81" s="34"/>
      <c r="E81" s="34"/>
      <c r="F81" s="34"/>
      <c r="G81" s="34"/>
      <c r="H81" s="34"/>
      <c r="I81" s="34"/>
      <c r="J81" s="34"/>
      <c r="K81" s="34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29.25" customHeight="1">
      <c r="A82" s="32"/>
      <c r="B82" s="15"/>
      <c r="C82" s="39" t="s">
        <v>108</v>
      </c>
      <c r="D82" s="41" t="s">
        <v>109</v>
      </c>
      <c r="E82" s="42"/>
      <c r="F82" s="42"/>
      <c r="G82" s="42"/>
      <c r="H82" s="42"/>
      <c r="I82" s="42"/>
      <c r="J82" s="42"/>
      <c r="K82" s="42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7" ht="57.75" customHeight="1">
      <c r="A83" s="32"/>
      <c r="B83" s="15"/>
      <c r="C83" s="40"/>
      <c r="D83" s="41" t="s">
        <v>110</v>
      </c>
      <c r="E83" s="42"/>
      <c r="F83" s="42"/>
      <c r="G83" s="42"/>
      <c r="H83" s="42"/>
      <c r="I83" s="42"/>
      <c r="J83" s="42"/>
      <c r="K83" s="42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7" ht="31.5" customHeight="1">
      <c r="A84" s="32"/>
      <c r="B84" s="15"/>
      <c r="C84" s="37"/>
      <c r="D84" s="43" t="s">
        <v>111</v>
      </c>
      <c r="E84" s="44"/>
      <c r="F84" s="44"/>
      <c r="G84" s="44"/>
      <c r="H84" s="44"/>
      <c r="I84" s="44"/>
      <c r="J84" s="44"/>
      <c r="K84" s="4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7" ht="15.75" customHeight="1">
      <c r="A85" s="32"/>
      <c r="B85" s="15"/>
      <c r="C85" s="15"/>
      <c r="D85" s="35"/>
      <c r="E85" s="35"/>
      <c r="F85" s="35"/>
      <c r="G85" s="35"/>
      <c r="H85" s="35"/>
      <c r="I85" s="35"/>
      <c r="J85" s="35"/>
      <c r="K85" s="3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7" ht="15.75" customHeight="1">
      <c r="A86" s="32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7" ht="15.75" customHeight="1">
      <c r="A87" s="32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7" ht="15.75" customHeight="1">
      <c r="A88" s="32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7" ht="15.75" customHeight="1">
      <c r="A89" s="32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7" ht="15.75" customHeight="1">
      <c r="A90" s="32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7" ht="15.75" customHeight="1">
      <c r="A91" s="32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7" ht="15.75" customHeight="1">
      <c r="A92" s="32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7" ht="15.75" customHeight="1">
      <c r="A93" s="32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7" ht="15.75" customHeight="1">
      <c r="A94" s="32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7" ht="15.75" customHeight="1">
      <c r="A95" s="32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7" ht="15.75" customHeight="1">
      <c r="A96" s="32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7" ht="15.75" customHeight="1">
      <c r="A97" s="32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7" ht="15.75" customHeight="1">
      <c r="A98" s="32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7" ht="15.75" customHeight="1">
      <c r="A99" s="32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7" ht="15.75" customHeight="1">
      <c r="A100" s="32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7" ht="15.75" customHeight="1">
      <c r="A101" s="32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>
      <c r="A102" s="32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>
      <c r="A103" s="32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>
      <c r="A104" s="32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>
      <c r="A105" s="32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>
      <c r="A106" s="32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>
      <c r="A107" s="32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>
      <c r="A108" s="32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>
      <c r="A109" s="32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>
      <c r="A110" s="32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27" ht="15.75" customHeight="1">
      <c r="A111" s="32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spans="1:27" ht="15.75" customHeight="1">
      <c r="A112" s="32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spans="1:19" ht="15.75" customHeight="1">
      <c r="A113" s="32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spans="1:19" ht="15.75" customHeight="1">
      <c r="A114" s="32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spans="1:19" ht="15.75" customHeight="1">
      <c r="A115" s="32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spans="1:19" ht="15.75" customHeight="1">
      <c r="A116" s="32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19" ht="15.75" customHeight="1">
      <c r="A117" s="32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spans="1:19" ht="15.75" customHeight="1">
      <c r="A118" s="3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ht="15.75" customHeight="1">
      <c r="A119" s="32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19" ht="15.75" customHeight="1">
      <c r="A120" s="32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spans="1:19" ht="15.75" customHeight="1">
      <c r="A121" s="32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spans="1:19" ht="15.75" customHeight="1">
      <c r="A122" s="32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spans="1:19" ht="15.75" customHeight="1">
      <c r="A123" s="32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19" ht="15.75" customHeight="1">
      <c r="A124" s="32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19" ht="15.75" customHeight="1">
      <c r="A125" s="32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</row>
    <row r="126" spans="1:19" ht="15.75" customHeight="1">
      <c r="A126" s="32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spans="1:19" ht="15.75" customHeight="1">
      <c r="A127" s="32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spans="1:19" ht="15.75" customHeight="1">
      <c r="A128" s="32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ht="15.75" customHeight="1">
      <c r="A129" s="32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spans="1:19" ht="15.75" customHeight="1">
      <c r="A130" s="32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spans="1:19" ht="15.75" customHeight="1">
      <c r="A131" s="32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spans="1:19" ht="15.75" customHeight="1">
      <c r="A132" s="32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spans="1:19" ht="15.75" customHeight="1">
      <c r="A133" s="32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spans="1:19" ht="15.75" customHeight="1">
      <c r="A134" s="32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 spans="1:19" ht="15.75" customHeight="1">
      <c r="A135" s="32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 spans="1:19" ht="15.75" customHeight="1">
      <c r="A136" s="32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spans="1:19" ht="15.75" customHeight="1">
      <c r="A137" s="32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spans="1:19" ht="15.75" customHeight="1">
      <c r="A138" s="32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</row>
    <row r="139" spans="1:19" ht="15.75" customHeight="1">
      <c r="A139" s="32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 spans="1:19" ht="15.75" customHeight="1">
      <c r="A140" s="32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spans="1:19" ht="15.75" customHeight="1">
      <c r="A141" s="32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spans="1:19" ht="15.75" customHeight="1">
      <c r="A142" s="32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</row>
    <row r="143" spans="1:19" ht="15.75" customHeight="1">
      <c r="A143" s="32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4" spans="1:19" ht="15.75" customHeight="1">
      <c r="A144" s="32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 spans="1:19" ht="15.75" customHeight="1">
      <c r="A145" s="32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spans="1:19" ht="15.75" customHeight="1">
      <c r="A146" s="32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 spans="1:19" ht="15.75" customHeight="1">
      <c r="A147" s="32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ht="15.75" customHeight="1">
      <c r="A148" s="32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spans="1:19" ht="15.75" customHeight="1">
      <c r="A149" s="32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</row>
    <row r="150" spans="1:19" ht="15.75" customHeight="1">
      <c r="A150" s="32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</row>
    <row r="151" spans="1:19" ht="15.75" customHeight="1">
      <c r="A151" s="32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</row>
    <row r="152" spans="1:19" ht="15.75" customHeight="1">
      <c r="A152" s="32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</row>
    <row r="153" spans="1:19" ht="15.75" customHeight="1">
      <c r="A153" s="32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spans="1:19" ht="15.75" customHeight="1">
      <c r="A154" s="32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</row>
    <row r="155" spans="1:19" ht="15.75" customHeight="1">
      <c r="A155" s="32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</row>
    <row r="156" spans="1:19" ht="15.75" customHeight="1">
      <c r="A156" s="32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ht="15.75" customHeight="1">
      <c r="A157" s="32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</row>
    <row r="158" spans="1:19" ht="15.75" customHeight="1">
      <c r="A158" s="32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</row>
    <row r="159" spans="1:19" ht="15.75" customHeight="1">
      <c r="A159" s="32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</row>
    <row r="160" spans="1:19" ht="15.75" customHeight="1">
      <c r="A160" s="32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</row>
    <row r="161" spans="1:19" ht="15.75" customHeight="1">
      <c r="A161" s="32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spans="1:19" ht="15.75" customHeight="1">
      <c r="A162" s="32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</row>
    <row r="163" spans="1:19" ht="15.75" customHeight="1">
      <c r="A163" s="32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</row>
    <row r="164" spans="1:19" ht="15.75" customHeight="1">
      <c r="A164" s="32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 spans="1:19" ht="15.75" customHeight="1">
      <c r="A165" s="32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</row>
    <row r="166" spans="1:19" ht="15.75" customHeight="1">
      <c r="A166" s="32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</row>
    <row r="167" spans="1:19" ht="15.75" customHeight="1">
      <c r="A167" s="32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</row>
    <row r="168" spans="1:19" ht="15.75" customHeight="1">
      <c r="A168" s="32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</row>
    <row r="169" spans="1:19" ht="15.75" customHeight="1">
      <c r="A169" s="32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 spans="1:19" ht="15.75" customHeight="1">
      <c r="A170" s="32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</row>
    <row r="171" spans="1:19" ht="15.75" customHeight="1">
      <c r="A171" s="32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</row>
    <row r="172" spans="1:19" ht="15.75" customHeight="1">
      <c r="A172" s="32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</row>
    <row r="173" spans="1:19" ht="15.75" customHeight="1">
      <c r="A173" s="32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spans="1:19" ht="15.75" customHeight="1">
      <c r="A174" s="32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</row>
    <row r="175" spans="1:19" ht="15.75" customHeight="1">
      <c r="A175" s="32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</row>
    <row r="176" spans="1:19" ht="15.75" customHeight="1">
      <c r="A176" s="32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19" ht="15.75" customHeight="1">
      <c r="A177" s="32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</row>
    <row r="178" spans="1:19" ht="15.75" customHeight="1">
      <c r="A178" s="32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19" ht="15.75" customHeight="1">
      <c r="A179" s="32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19" ht="15.75" customHeight="1">
      <c r="A180" s="32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</row>
    <row r="181" spans="1:19" ht="15.75" customHeight="1">
      <c r="A181" s="32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19" ht="15.75" customHeight="1">
      <c r="A182" s="32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19" ht="15.75" customHeight="1">
      <c r="A183" s="32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19" ht="15.75" customHeight="1">
      <c r="A184" s="32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19" ht="15.75" customHeight="1">
      <c r="A185" s="32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19" ht="15.75" customHeight="1">
      <c r="A186" s="32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19" ht="15.75" customHeight="1">
      <c r="A187" s="32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19" ht="15.75" customHeight="1">
      <c r="A188" s="32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</row>
    <row r="189" spans="1:19" ht="15.75" customHeight="1">
      <c r="A189" s="32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19" ht="15.75" customHeight="1">
      <c r="A190" s="32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19" ht="15.75" customHeight="1">
      <c r="A191" s="32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19" ht="15.75" customHeight="1">
      <c r="A192" s="32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</row>
    <row r="193" spans="1:19" ht="15.75" customHeight="1">
      <c r="A193" s="32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</row>
    <row r="194" spans="1:19" ht="15.75" customHeight="1">
      <c r="A194" s="32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</row>
    <row r="195" spans="1:19" ht="15.75" customHeight="1">
      <c r="A195" s="32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</row>
    <row r="196" spans="1:19" ht="15.75" customHeight="1">
      <c r="A196" s="32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</row>
    <row r="197" spans="1:19" ht="15.75" customHeight="1">
      <c r="A197" s="32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</row>
    <row r="198" spans="1:19" ht="15.75" customHeight="1">
      <c r="A198" s="32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</row>
    <row r="199" spans="1:19" ht="15.75" customHeight="1">
      <c r="A199" s="32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</row>
    <row r="200" spans="1:19" ht="15.75" customHeight="1">
      <c r="A200" s="32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</row>
    <row r="201" spans="1:19" ht="15.75" customHeight="1">
      <c r="A201" s="32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</row>
    <row r="202" spans="1:19" ht="15.75" customHeight="1">
      <c r="A202" s="32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</row>
    <row r="203" spans="1:19" ht="15.75" customHeight="1">
      <c r="A203" s="32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19" ht="15.75" customHeight="1">
      <c r="A204" s="32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</row>
    <row r="205" spans="1:19" ht="15.75" customHeight="1">
      <c r="A205" s="32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19" ht="15.75" customHeight="1">
      <c r="A206" s="32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19" ht="15.75" customHeight="1">
      <c r="A207" s="32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</row>
    <row r="208" spans="1:19" ht="15.75" customHeight="1">
      <c r="A208" s="32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</row>
    <row r="209" spans="1:19" ht="15.75" customHeight="1">
      <c r="A209" s="32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</row>
    <row r="210" spans="1:19" ht="15.75" customHeight="1">
      <c r="A210" s="32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19" ht="15.75" customHeight="1">
      <c r="A211" s="32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19" ht="15.75" customHeight="1">
      <c r="A212" s="32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</row>
    <row r="213" spans="1:19" ht="15.75" customHeight="1">
      <c r="A213" s="32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</row>
    <row r="214" spans="1:19" ht="15.75" customHeight="1">
      <c r="A214" s="32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</row>
    <row r="215" spans="1:19" ht="15.75" customHeight="1">
      <c r="A215" s="32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</row>
    <row r="216" spans="1:19" ht="15.75" customHeight="1">
      <c r="A216" s="32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</row>
    <row r="217" spans="1:19" ht="15.75" customHeight="1">
      <c r="A217" s="32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</row>
    <row r="218" spans="1:19" ht="15.75" customHeight="1">
      <c r="A218" s="32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</row>
    <row r="219" spans="1:19" ht="15.75" customHeight="1">
      <c r="A219" s="32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</row>
    <row r="220" spans="1:19" ht="15.75" customHeight="1">
      <c r="A220" s="32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</row>
    <row r="221" spans="1:19" ht="15.75" customHeight="1">
      <c r="A221" s="32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</row>
    <row r="222" spans="1:19" ht="15.75" customHeight="1">
      <c r="A222" s="32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</row>
    <row r="223" spans="1:19" ht="15.75" customHeight="1">
      <c r="A223" s="32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</row>
    <row r="224" spans="1:19" ht="15.75" customHeight="1">
      <c r="A224" s="32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</row>
    <row r="225" spans="1:19" ht="15.75" customHeight="1">
      <c r="A225" s="32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</row>
    <row r="226" spans="1:19" ht="15.75" customHeight="1">
      <c r="A226" s="32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</row>
    <row r="227" spans="1:19" ht="15.75" customHeight="1">
      <c r="A227" s="32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</row>
    <row r="228" spans="1:19" ht="15.75" customHeight="1">
      <c r="A228" s="32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</row>
    <row r="229" spans="1:19" ht="15.75" customHeight="1">
      <c r="A229" s="32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</row>
    <row r="230" spans="1:19" ht="15.75" customHeight="1">
      <c r="A230" s="32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</row>
    <row r="231" spans="1:19" ht="15.75" customHeight="1">
      <c r="A231" s="32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</row>
    <row r="232" spans="1:19" ht="15.75" customHeight="1">
      <c r="A232" s="32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</row>
    <row r="233" spans="1:19" ht="15.75" customHeight="1">
      <c r="A233" s="32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</row>
    <row r="234" spans="1:19" ht="15.75" customHeight="1">
      <c r="A234" s="32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</row>
    <row r="235" spans="1:19" ht="15.75" customHeight="1">
      <c r="A235" s="32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</row>
    <row r="236" spans="1:19" ht="15.75" customHeight="1">
      <c r="A236" s="32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</row>
    <row r="237" spans="1:19" ht="15.75" customHeight="1">
      <c r="A237" s="32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</row>
    <row r="238" spans="1:19" ht="15.75" customHeight="1">
      <c r="A238" s="32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</row>
    <row r="239" spans="1:19" ht="15.75" customHeight="1">
      <c r="A239" s="32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</row>
    <row r="240" spans="1:19" ht="15.75" customHeight="1">
      <c r="A240" s="32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</row>
    <row r="241" spans="1:19" ht="15.75" customHeight="1">
      <c r="A241" s="32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</row>
    <row r="242" spans="1:19" ht="15.75" customHeight="1">
      <c r="A242" s="32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</row>
    <row r="243" spans="1:19" ht="15.75" customHeight="1">
      <c r="A243" s="32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</row>
    <row r="244" spans="1:19" ht="15.75" customHeight="1">
      <c r="A244" s="32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</row>
    <row r="245" spans="1:19" ht="15.75" customHeight="1">
      <c r="A245" s="32"/>
    </row>
    <row r="246" spans="1:19" ht="15.75" customHeight="1">
      <c r="A246" s="32"/>
    </row>
    <row r="247" spans="1:19" ht="15.75" customHeight="1">
      <c r="A247" s="32"/>
    </row>
    <row r="248" spans="1:19" ht="15.75" customHeight="1">
      <c r="A248" s="32"/>
    </row>
    <row r="249" spans="1:19" ht="15.75" customHeight="1">
      <c r="A249" s="32"/>
    </row>
    <row r="250" spans="1:19" ht="15.75" customHeight="1">
      <c r="A250" s="32"/>
    </row>
    <row r="251" spans="1:19" ht="15.75" customHeight="1">
      <c r="A251" s="32"/>
    </row>
    <row r="252" spans="1:19" ht="15.75" customHeight="1">
      <c r="A252" s="32"/>
    </row>
    <row r="253" spans="1:19" ht="15.75" customHeight="1">
      <c r="A253" s="32"/>
    </row>
    <row r="254" spans="1:19" ht="15.75" customHeight="1">
      <c r="A254" s="32"/>
    </row>
    <row r="255" spans="1:19" ht="15.75" customHeight="1">
      <c r="A255" s="32"/>
    </row>
    <row r="256" spans="1:19" ht="15.75" customHeight="1">
      <c r="A256" s="32"/>
    </row>
    <row r="257" spans="1:1" ht="15.75" customHeight="1">
      <c r="A257" s="32"/>
    </row>
    <row r="258" spans="1:1" ht="15.75" customHeight="1">
      <c r="A258" s="32"/>
    </row>
    <row r="259" spans="1:1" ht="15.75" customHeight="1">
      <c r="A259" s="32"/>
    </row>
    <row r="260" spans="1:1" ht="15.75" customHeight="1">
      <c r="A260" s="32"/>
    </row>
    <row r="261" spans="1:1" ht="15.75" customHeight="1">
      <c r="A261" s="32"/>
    </row>
    <row r="262" spans="1:1" ht="15.75" customHeight="1">
      <c r="A262" s="32"/>
    </row>
    <row r="263" spans="1:1" ht="15.75" customHeight="1">
      <c r="A263" s="32"/>
    </row>
    <row r="264" spans="1:1" ht="15.75" customHeight="1">
      <c r="A264" s="32"/>
    </row>
    <row r="265" spans="1:1" ht="15.75" customHeight="1">
      <c r="A265" s="32"/>
    </row>
    <row r="266" spans="1:1" ht="15.75" customHeight="1">
      <c r="A266" s="32"/>
    </row>
    <row r="267" spans="1:1" ht="15.75" customHeight="1">
      <c r="A267" s="32"/>
    </row>
    <row r="268" spans="1:1" ht="15.75" customHeight="1">
      <c r="A268" s="32"/>
    </row>
    <row r="269" spans="1:1" ht="15.75" customHeight="1">
      <c r="A269" s="32"/>
    </row>
    <row r="270" spans="1:1" ht="15.75" customHeight="1">
      <c r="A270" s="32"/>
    </row>
    <row r="271" spans="1:1" ht="15.75" customHeight="1">
      <c r="A271" s="32"/>
    </row>
    <row r="272" spans="1:1" ht="15.75" customHeight="1">
      <c r="A272" s="32"/>
    </row>
    <row r="273" spans="1:1" ht="15.75" customHeight="1">
      <c r="A273" s="32"/>
    </row>
    <row r="274" spans="1:1" ht="15.75" customHeight="1">
      <c r="A274" s="32"/>
    </row>
    <row r="275" spans="1:1" ht="15.75" customHeight="1">
      <c r="A275" s="32"/>
    </row>
    <row r="276" spans="1:1" ht="15.75" customHeight="1">
      <c r="A276" s="32"/>
    </row>
    <row r="277" spans="1:1" ht="15.75" customHeight="1">
      <c r="A277" s="32"/>
    </row>
    <row r="278" spans="1:1" ht="15.75" customHeight="1">
      <c r="A278" s="32"/>
    </row>
    <row r="279" spans="1:1" ht="15.75" customHeight="1">
      <c r="A279" s="32"/>
    </row>
    <row r="280" spans="1:1" ht="15.75" customHeight="1">
      <c r="A280" s="32"/>
    </row>
    <row r="281" spans="1:1" ht="15.75" customHeight="1">
      <c r="A281" s="32"/>
    </row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9">
    <mergeCell ref="A1:K1"/>
    <mergeCell ref="T1:Z1"/>
    <mergeCell ref="D2:K2"/>
    <mergeCell ref="N2:T2"/>
    <mergeCell ref="A3:A4"/>
    <mergeCell ref="B3:B4"/>
    <mergeCell ref="C3:C4"/>
    <mergeCell ref="D3:D4"/>
    <mergeCell ref="E3:G3"/>
    <mergeCell ref="H3:J3"/>
    <mergeCell ref="A71:A73"/>
    <mergeCell ref="K3:K4"/>
    <mergeCell ref="A5:A10"/>
    <mergeCell ref="A11:A15"/>
    <mergeCell ref="A16:A24"/>
    <mergeCell ref="A25:A34"/>
    <mergeCell ref="A35:A41"/>
    <mergeCell ref="A42:A48"/>
    <mergeCell ref="A49:A51"/>
    <mergeCell ref="A54:A61"/>
    <mergeCell ref="A62:A67"/>
    <mergeCell ref="A69:A70"/>
    <mergeCell ref="A74:A75"/>
    <mergeCell ref="A76:A78"/>
    <mergeCell ref="A79:A80"/>
    <mergeCell ref="C82:C84"/>
    <mergeCell ref="D82:K82"/>
    <mergeCell ref="D83:K83"/>
    <mergeCell ref="D84:K84"/>
  </mergeCells>
  <hyperlinks>
    <hyperlink ref="D82" r:id="rId1" display="1. Instituto Nacional de Estadistica y Geográfia. (s.f.).  Servicios básicos por municipio. [Conjunto de datos]. Espacios y datos de México. https://www.inegi.org.mx/app/mapa/espacioydatos/default.aspx                                                      " xr:uid="{C1C0D4CB-7650-45CD-A2ED-6C511EC37D91}"/>
    <hyperlink ref="D83" r:id="rId2" display="2. Consejo Nacional de Evaluacion de la Politica de Desarrollo Social. (2021).  Carencia por calidad y espacios de la vivienda. [Conjunto de datos].  Medición de la pobreza, Estados Unidos Mexicanos, 2010-2020. https://www.coneval.org.mx/Medicion/Document" xr:uid="{135BC08D-D1F0-4491-8463-7EA0AA82A440}"/>
    <hyperlink ref="D82:K82" r:id="rId3" location="D56" display="1. Instituto Nacional de Estadistica y Geográfia. (s.f.).  Servicios básicos por municipio. [Conjunto de datos]. Espacios y datos de México. https://www.inegi.org.mx/app/indicadores/?t=56&amp;ag=21001#D56#D1003000011_56#D1003000001_56" xr:uid="{BFC9A0BE-002D-4EEF-A36E-229EDA2F7DF0}"/>
    <hyperlink ref="D83:K83" r:id="rId4" display="2. Consejo Nacional de Evaluacion de la Politica de Desarrollo Social. (2022).  Carencia por calidad y espacios de la vivienda. [Conjunto de datos].  Medición de la pobreza. Pobreza a nivel municipio 2010-2020. https://www.coneval.org.mx/Medicion/Paginas/Pobreza-municipio-2010-2020.aspx" xr:uid="{D129217B-CE34-424E-8892-C5BDB3E602D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2024-07-17T17:20:54Z</dcterms:created>
  <dcterms:modified xsi:type="dcterms:W3CDTF">2024-08-26T19:21:11Z</dcterms:modified>
</cp:coreProperties>
</file>